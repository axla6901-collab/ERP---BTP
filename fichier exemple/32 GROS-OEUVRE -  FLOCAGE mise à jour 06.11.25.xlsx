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deraly69.sharepoint.com/sites/MONERON/Shared Documents/General/03. EN COURS/MILLERY - COTE MARQUIS/REPONSE APPEL D'OFFRE MISE A JOUR 06 11 2025/"/>
    </mc:Choice>
  </mc:AlternateContent>
  <xr:revisionPtr revIDLastSave="232" documentId="8_{F6B6A358-483C-44D5-AE12-8B1FB55745A2}" xr6:coauthVersionLast="47" xr6:coauthVersionMax="47" xr10:uidLastSave="{DE390B13-23C8-48B5-880D-7BB775CC26B7}"/>
  <bookViews>
    <workbookView minimized="1" xWindow="1464" yWindow="1464" windowWidth="17280" windowHeight="8880" firstSheet="1" activeTab="1" xr2:uid="{00000000-000D-0000-FFFF-FFFF00000000}"/>
  </bookViews>
  <sheets>
    <sheet name="Lot N°32 Page de garde" sheetId="1" r:id="rId1"/>
    <sheet name="Lot N°32 GROS-OEUVRE" sheetId="2" r:id="rId2"/>
  </sheets>
  <definedNames>
    <definedName name="_xlnm.Print_Titles" localSheetId="1">'Lot N°32 GROS-OEUVRE'!$1:$2</definedName>
    <definedName name="_xlnm.Print_Area" localSheetId="1">'Lot N°32 GROS-OEUVRE'!$A$1:$G$400</definedName>
  </definedName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8" i="2" l="1"/>
  <c r="E296" i="2"/>
  <c r="E14" i="2"/>
  <c r="E15" i="2"/>
  <c r="E17" i="2"/>
  <c r="E18" i="2"/>
  <c r="E19" i="2"/>
  <c r="E20" i="2"/>
  <c r="G21" i="2"/>
  <c r="E22" i="2"/>
  <c r="E23" i="2"/>
  <c r="E24" i="2"/>
  <c r="G25" i="2"/>
  <c r="E26" i="2"/>
  <c r="E29" i="2"/>
  <c r="E30" i="2"/>
  <c r="E31" i="2"/>
  <c r="E32" i="2"/>
  <c r="E33" i="2"/>
  <c r="G33" i="2" s="1"/>
  <c r="E35" i="2"/>
  <c r="E36" i="2"/>
  <c r="E37" i="2"/>
  <c r="G37" i="2" s="1"/>
  <c r="E39" i="2"/>
  <c r="E40" i="2"/>
  <c r="E41" i="2"/>
  <c r="G41" i="2" s="1"/>
  <c r="E47" i="2"/>
  <c r="E49" i="2"/>
  <c r="G49" i="2" s="1"/>
  <c r="E51" i="2"/>
  <c r="E52" i="2"/>
  <c r="E53" i="2"/>
  <c r="G53" i="2" s="1"/>
  <c r="E54" i="2"/>
  <c r="E56" i="2"/>
  <c r="E59" i="2"/>
  <c r="E61" i="2"/>
  <c r="G61" i="2" s="1"/>
  <c r="E63" i="2"/>
  <c r="E65" i="2"/>
  <c r="E67" i="2"/>
  <c r="E68" i="2"/>
  <c r="E70" i="2"/>
  <c r="E71" i="2"/>
  <c r="E77" i="2"/>
  <c r="G77" i="2" s="1"/>
  <c r="E78" i="2"/>
  <c r="E79" i="2"/>
  <c r="E80" i="2"/>
  <c r="E82" i="2"/>
  <c r="E84" i="2"/>
  <c r="E85" i="2"/>
  <c r="G85" i="2" s="1"/>
  <c r="E86" i="2"/>
  <c r="E87" i="2"/>
  <c r="E89" i="2"/>
  <c r="G89" i="2" s="1"/>
  <c r="E90" i="2"/>
  <c r="E91" i="2"/>
  <c r="E93" i="2"/>
  <c r="G93" i="2" s="1"/>
  <c r="E94" i="2"/>
  <c r="E95" i="2"/>
  <c r="E97" i="2"/>
  <c r="E98" i="2"/>
  <c r="E99" i="2"/>
  <c r="E100" i="2"/>
  <c r="E103" i="2"/>
  <c r="E104" i="2"/>
  <c r="E106" i="2"/>
  <c r="E108" i="2"/>
  <c r="E109" i="2"/>
  <c r="E111" i="2"/>
  <c r="E113" i="2"/>
  <c r="G113" i="2" s="1"/>
  <c r="E115" i="2"/>
  <c r="E121" i="2"/>
  <c r="E122" i="2"/>
  <c r="E123" i="2"/>
  <c r="E124" i="2"/>
  <c r="E126" i="2"/>
  <c r="E127" i="2"/>
  <c r="E128" i="2"/>
  <c r="E129" i="2"/>
  <c r="G129" i="2" s="1"/>
  <c r="E131" i="2"/>
  <c r="E133" i="2"/>
  <c r="G133" i="2" s="1"/>
  <c r="E134" i="2"/>
  <c r="E135" i="2"/>
  <c r="E136" i="2"/>
  <c r="E137" i="2"/>
  <c r="G137" i="2" s="1"/>
  <c r="E138" i="2"/>
  <c r="E140" i="2"/>
  <c r="E141" i="2"/>
  <c r="G141" i="2" s="1"/>
  <c r="E142" i="2"/>
  <c r="E143" i="2"/>
  <c r="E145" i="2"/>
  <c r="E146" i="2"/>
  <c r="E147" i="2"/>
  <c r="E148" i="2"/>
  <c r="E149" i="2"/>
  <c r="E150" i="2"/>
  <c r="E152" i="2"/>
  <c r="E153" i="2"/>
  <c r="G153" i="2" s="1"/>
  <c r="E154" i="2"/>
  <c r="E155" i="2"/>
  <c r="E156" i="2"/>
  <c r="E158" i="2"/>
  <c r="E159" i="2"/>
  <c r="E160" i="2"/>
  <c r="E162" i="2"/>
  <c r="E165" i="2"/>
  <c r="G165" i="2" s="1"/>
  <c r="E166" i="2"/>
  <c r="E167" i="2"/>
  <c r="E168" i="2"/>
  <c r="E169" i="2"/>
  <c r="G169" i="2" s="1"/>
  <c r="E171" i="2"/>
  <c r="E173" i="2"/>
  <c r="G173" i="2" s="1"/>
  <c r="E174" i="2"/>
  <c r="E176" i="2"/>
  <c r="E177" i="2"/>
  <c r="E179" i="2"/>
  <c r="E180" i="2"/>
  <c r="E182" i="2"/>
  <c r="E183" i="2"/>
  <c r="E185" i="2"/>
  <c r="G185" i="2" s="1"/>
  <c r="E187" i="2"/>
  <c r="E189" i="2"/>
  <c r="G189" i="2" s="1"/>
  <c r="E191" i="2"/>
  <c r="E192" i="2"/>
  <c r="E194" i="2"/>
  <c r="E197" i="2"/>
  <c r="G197" i="2" s="1"/>
  <c r="E198" i="2"/>
  <c r="E203" i="2"/>
  <c r="E209" i="2"/>
  <c r="G209" i="2" s="1"/>
  <c r="E211" i="2"/>
  <c r="E212" i="2"/>
  <c r="E218" i="2"/>
  <c r="E219" i="2"/>
  <c r="E221" i="2"/>
  <c r="E223" i="2"/>
  <c r="E224" i="2"/>
  <c r="E225" i="2"/>
  <c r="G225" i="2" s="1"/>
  <c r="E226" i="2"/>
  <c r="E228" i="2"/>
  <c r="E230" i="2"/>
  <c r="E236" i="2"/>
  <c r="E237" i="2"/>
  <c r="E238" i="2"/>
  <c r="E240" i="2"/>
  <c r="E241" i="2"/>
  <c r="G241" i="2" s="1"/>
  <c r="E243" i="2"/>
  <c r="E244" i="2"/>
  <c r="E245" i="2"/>
  <c r="G245" i="2" s="1"/>
  <c r="E247" i="2"/>
  <c r="E248" i="2"/>
  <c r="E249" i="2"/>
  <c r="G249" i="2" s="1"/>
  <c r="E251" i="2"/>
  <c r="E252" i="2"/>
  <c r="E253" i="2"/>
  <c r="E259" i="2"/>
  <c r="E260" i="2"/>
  <c r="E261" i="2"/>
  <c r="G261" i="2" s="1"/>
  <c r="E262" i="2"/>
  <c r="E264" i="2"/>
  <c r="E267" i="2"/>
  <c r="E268" i="2"/>
  <c r="E270" i="2"/>
  <c r="E271" i="2"/>
  <c r="E273" i="2"/>
  <c r="G273" i="2" s="1"/>
  <c r="E274" i="2"/>
  <c r="E275" i="2"/>
  <c r="E276" i="2"/>
  <c r="E278" i="2"/>
  <c r="E279" i="2"/>
  <c r="E280" i="2"/>
  <c r="E282" i="2"/>
  <c r="E288" i="2"/>
  <c r="E289" i="2"/>
  <c r="G289" i="2" s="1"/>
  <c r="E290" i="2"/>
  <c r="E291" i="2"/>
  <c r="E293" i="2"/>
  <c r="G293" i="2" s="1"/>
  <c r="E294" i="2"/>
  <c r="E295" i="2"/>
  <c r="E298" i="2"/>
  <c r="E299" i="2"/>
  <c r="E300" i="2"/>
  <c r="E302" i="2"/>
  <c r="E303" i="2"/>
  <c r="E304" i="2"/>
  <c r="E306" i="2"/>
  <c r="E309" i="2"/>
  <c r="G309" i="2" s="1"/>
  <c r="E311" i="2"/>
  <c r="E312" i="2"/>
  <c r="E318" i="2"/>
  <c r="E319" i="2"/>
  <c r="E320" i="2"/>
  <c r="E321" i="2"/>
  <c r="G321" i="2" s="1"/>
  <c r="E322" i="2"/>
  <c r="E323" i="2"/>
  <c r="E325" i="2"/>
  <c r="G325" i="2" s="1"/>
  <c r="E326" i="2"/>
  <c r="E327" i="2"/>
  <c r="E328" i="2"/>
  <c r="E329" i="2"/>
  <c r="G329" i="2" s="1"/>
  <c r="E330" i="2"/>
  <c r="E332" i="2"/>
  <c r="E334" i="2"/>
  <c r="E335" i="2"/>
  <c r="E336" i="2"/>
  <c r="E337" i="2"/>
  <c r="E339" i="2"/>
  <c r="E340" i="2"/>
  <c r="E341" i="2"/>
  <c r="G341" i="2" s="1"/>
  <c r="E343" i="2"/>
  <c r="E344" i="2"/>
  <c r="E345" i="2"/>
  <c r="G345" i="2" s="1"/>
  <c r="E346" i="2"/>
  <c r="E348" i="2"/>
  <c r="E350" i="2"/>
  <c r="E353" i="2"/>
  <c r="G353" i="2" s="1"/>
  <c r="E355" i="2"/>
  <c r="E356" i="2"/>
  <c r="E358" i="2"/>
  <c r="E359" i="2"/>
  <c r="E361" i="2"/>
  <c r="G361" i="2" s="1"/>
  <c r="E363" i="2"/>
  <c r="E364" i="2"/>
  <c r="E366" i="2"/>
  <c r="E368" i="2"/>
  <c r="E369" i="2"/>
  <c r="E374" i="2"/>
  <c r="E380" i="2"/>
  <c r="E382" i="2"/>
  <c r="E383" i="2"/>
  <c r="E384" i="2"/>
  <c r="E385" i="2"/>
  <c r="G385" i="2" s="1"/>
  <c r="E386" i="2"/>
  <c r="E387" i="2"/>
  <c r="E390" i="2"/>
  <c r="E392" i="2"/>
  <c r="E6" i="2"/>
  <c r="E7" i="2"/>
  <c r="E9" i="2"/>
  <c r="E10" i="2"/>
  <c r="E11" i="2"/>
  <c r="E13" i="2"/>
  <c r="G13" i="2" s="1"/>
  <c r="E5" i="2"/>
  <c r="G5" i="2" s="1"/>
  <c r="G6" i="2"/>
  <c r="G11" i="2"/>
  <c r="G12" i="2"/>
  <c r="G14" i="2"/>
  <c r="G20" i="2"/>
  <c r="G22" i="2"/>
  <c r="G24" i="2"/>
  <c r="G27" i="2"/>
  <c r="G28" i="2"/>
  <c r="G29" i="2"/>
  <c r="G31" i="2"/>
  <c r="G32" i="2"/>
  <c r="G35" i="2"/>
  <c r="G36" i="2"/>
  <c r="G39" i="2"/>
  <c r="G40" i="2"/>
  <c r="G47" i="2"/>
  <c r="G51" i="2"/>
  <c r="G52" i="2"/>
  <c r="G54" i="2"/>
  <c r="G56" i="2"/>
  <c r="G59" i="2"/>
  <c r="G63" i="2"/>
  <c r="G65" i="2"/>
  <c r="G67" i="2"/>
  <c r="G68" i="2"/>
  <c r="G70" i="2"/>
  <c r="G71" i="2"/>
  <c r="G78" i="2"/>
  <c r="G79" i="2"/>
  <c r="G80" i="2"/>
  <c r="G82" i="2"/>
  <c r="G84" i="2"/>
  <c r="G86" i="2"/>
  <c r="G87" i="2"/>
  <c r="G90" i="2"/>
  <c r="G91" i="2"/>
  <c r="G94" i="2"/>
  <c r="G95" i="2"/>
  <c r="G97" i="2"/>
  <c r="G98" i="2"/>
  <c r="G99" i="2"/>
  <c r="G100" i="2"/>
  <c r="G103" i="2"/>
  <c r="G104" i="2"/>
  <c r="G106" i="2"/>
  <c r="G108" i="2"/>
  <c r="G109" i="2"/>
  <c r="G111" i="2"/>
  <c r="G115" i="2"/>
  <c r="G121" i="2"/>
  <c r="G122" i="2"/>
  <c r="G123" i="2"/>
  <c r="G124" i="2"/>
  <c r="G126" i="2"/>
  <c r="G127" i="2"/>
  <c r="G128" i="2"/>
  <c r="G130" i="2"/>
  <c r="G131" i="2"/>
  <c r="G134" i="2"/>
  <c r="G135" i="2"/>
  <c r="G136" i="2"/>
  <c r="G138" i="2"/>
  <c r="G140" i="2"/>
  <c r="G142" i="2"/>
  <c r="G143" i="2"/>
  <c r="G145" i="2"/>
  <c r="G146" i="2"/>
  <c r="G147" i="2"/>
  <c r="G148" i="2"/>
  <c r="G149" i="2"/>
  <c r="G150" i="2"/>
  <c r="G152" i="2"/>
  <c r="G154" i="2"/>
  <c r="G155" i="2"/>
  <c r="G156" i="2"/>
  <c r="G158" i="2"/>
  <c r="G159" i="2"/>
  <c r="G160" i="2"/>
  <c r="G162" i="2"/>
  <c r="G166" i="2"/>
  <c r="G167" i="2"/>
  <c r="G168" i="2"/>
  <c r="G171" i="2"/>
  <c r="G174" i="2"/>
  <c r="G176" i="2"/>
  <c r="G177" i="2"/>
  <c r="G179" i="2"/>
  <c r="G180" i="2"/>
  <c r="G182" i="2"/>
  <c r="G183" i="2"/>
  <c r="G187" i="2"/>
  <c r="G191" i="2"/>
  <c r="G192" i="2"/>
  <c r="G194" i="2"/>
  <c r="G198" i="2"/>
  <c r="G203" i="2"/>
  <c r="G205" i="2" s="1"/>
  <c r="G211" i="2"/>
  <c r="G212" i="2"/>
  <c r="G218" i="2"/>
  <c r="G219" i="2"/>
  <c r="G221" i="2"/>
  <c r="G223" i="2"/>
  <c r="G224" i="2"/>
  <c r="G226" i="2"/>
  <c r="G228" i="2"/>
  <c r="G230" i="2"/>
  <c r="G236" i="2"/>
  <c r="G237" i="2"/>
  <c r="G238" i="2"/>
  <c r="G240" i="2"/>
  <c r="G243" i="2"/>
  <c r="G244" i="2"/>
  <c r="G247" i="2"/>
  <c r="G248" i="2"/>
  <c r="G251" i="2"/>
  <c r="G252" i="2"/>
  <c r="G253" i="2"/>
  <c r="G259" i="2"/>
  <c r="G260" i="2"/>
  <c r="G262" i="2"/>
  <c r="G264" i="2"/>
  <c r="G267" i="2"/>
  <c r="G268" i="2"/>
  <c r="G270" i="2"/>
  <c r="G271" i="2"/>
  <c r="G274" i="2"/>
  <c r="G275" i="2"/>
  <c r="G276" i="2"/>
  <c r="G278" i="2"/>
  <c r="G279" i="2"/>
  <c r="G280" i="2"/>
  <c r="G282" i="2"/>
  <c r="G288" i="2"/>
  <c r="G290" i="2"/>
  <c r="G291" i="2"/>
  <c r="G294" i="2"/>
  <c r="G295" i="2"/>
  <c r="G296" i="2"/>
  <c r="G298" i="2"/>
  <c r="G299" i="2"/>
  <c r="G300" i="2"/>
  <c r="G302" i="2"/>
  <c r="G303" i="2"/>
  <c r="G304" i="2"/>
  <c r="G306" i="2"/>
  <c r="G311" i="2"/>
  <c r="G312" i="2"/>
  <c r="G318" i="2"/>
  <c r="G319" i="2"/>
  <c r="G320" i="2"/>
  <c r="G322" i="2"/>
  <c r="G323" i="2"/>
  <c r="G326" i="2"/>
  <c r="G327" i="2"/>
  <c r="G328" i="2"/>
  <c r="G330" i="2"/>
  <c r="G332" i="2"/>
  <c r="G334" i="2"/>
  <c r="G335" i="2"/>
  <c r="G336" i="2"/>
  <c r="G337" i="2"/>
  <c r="G339" i="2"/>
  <c r="G340" i="2"/>
  <c r="G343" i="2"/>
  <c r="G344" i="2"/>
  <c r="G346" i="2"/>
  <c r="G348" i="2"/>
  <c r="G350" i="2"/>
  <c r="G355" i="2"/>
  <c r="G356" i="2"/>
  <c r="G358" i="2"/>
  <c r="G359" i="2"/>
  <c r="G363" i="2"/>
  <c r="G364" i="2"/>
  <c r="G366" i="2"/>
  <c r="G368" i="2"/>
  <c r="G369" i="2"/>
  <c r="G374" i="2"/>
  <c r="G376" i="2" s="1"/>
  <c r="G380" i="2"/>
  <c r="G382" i="2"/>
  <c r="G383" i="2"/>
  <c r="G384" i="2"/>
  <c r="G386" i="2"/>
  <c r="G387" i="2"/>
  <c r="G388" i="2"/>
  <c r="G390" i="2"/>
  <c r="G392" i="2"/>
  <c r="B398" i="2"/>
  <c r="G232" i="2" l="1"/>
  <c r="G214" i="2"/>
  <c r="G73" i="2"/>
  <c r="G16" i="2"/>
  <c r="G8" i="2"/>
  <c r="G314" i="2"/>
  <c r="G284" i="2"/>
  <c r="G255" i="2"/>
  <c r="G371" i="2"/>
  <c r="G117" i="2"/>
  <c r="G43" i="2"/>
  <c r="G394" i="2"/>
  <c r="G200" i="2"/>
  <c r="G397" i="2" l="1"/>
  <c r="G398" i="2" l="1"/>
  <c r="G399" i="2" s="1"/>
</calcChain>
</file>

<file path=xl/sharedStrings.xml><?xml version="1.0" encoding="utf-8"?>
<sst xmlns="http://schemas.openxmlformats.org/spreadsheetml/2006/main" count="1546" uniqueCount="840">
  <si>
    <t>DESIGNATION DU POSTE</t>
  </si>
  <si>
    <t>U</t>
  </si>
  <si>
    <t>Quantité économiste</t>
  </si>
  <si>
    <t>Quantité entreprise</t>
  </si>
  <si>
    <t>P.U.</t>
  </si>
  <si>
    <t>Total</t>
  </si>
  <si>
    <t>2.1</t>
  </si>
  <si>
    <t>PRESTATIONS COMPLEMENTAIRES</t>
  </si>
  <si>
    <t>CH4</t>
  </si>
  <si>
    <t xml:space="preserve">2.1.1 </t>
  </si>
  <si>
    <t>Études d'exécution</t>
  </si>
  <si>
    <t>Ft</t>
  </si>
  <si>
    <t>ART</t>
  </si>
  <si>
    <t>000-A312</t>
  </si>
  <si>
    <t xml:space="preserve">2.1.2 </t>
  </si>
  <si>
    <t>État des lieux par constat d'Huissier</t>
  </si>
  <si>
    <t>000-A311</t>
  </si>
  <si>
    <t>Total PRESTATIONS COMPLEMENTAIRES</t>
  </si>
  <si>
    <t>STOT</t>
  </si>
  <si>
    <t>2.2</t>
  </si>
  <si>
    <t>INSTALLATIONS DE CHANTIER</t>
  </si>
  <si>
    <t xml:space="preserve">2.2.1 </t>
  </si>
  <si>
    <t>Installation de chantier</t>
  </si>
  <si>
    <t>000-A315</t>
  </si>
  <si>
    <t xml:space="preserve">2.2.2 </t>
  </si>
  <si>
    <t>Clôture de chantier en treillis soudé - ht 2.00 ml</t>
  </si>
  <si>
    <t>ml</t>
  </si>
  <si>
    <t>000-A316</t>
  </si>
  <si>
    <t xml:space="preserve">2.2.3 </t>
  </si>
  <si>
    <t>Portail de chantier pour véhicules - 5.00 x ht 2.00 ml</t>
  </si>
  <si>
    <t>000-A317</t>
  </si>
  <si>
    <t xml:space="preserve">2.2.4 </t>
  </si>
  <si>
    <t>Portillon de chantier pour piétons - 0.90 x ht 2.00 ml</t>
  </si>
  <si>
    <t>000-A318</t>
  </si>
  <si>
    <t>Total INSTALLATIONS DE CHANTIER</t>
  </si>
  <si>
    <t>3.1</t>
  </si>
  <si>
    <t>FONDATIONS DU COLLECTIF</t>
  </si>
  <si>
    <t>3.1.1</t>
  </si>
  <si>
    <t>TERRASSEMENTS COMPLEMENTAIRES</t>
  </si>
  <si>
    <t>CH5</t>
  </si>
  <si>
    <t xml:space="preserve">3.1.1.1 </t>
  </si>
  <si>
    <t>Fouilles en trous / puits</t>
  </si>
  <si>
    <t>m³</t>
  </si>
  <si>
    <t>000-A324</t>
  </si>
  <si>
    <t xml:space="preserve">3.1.1.2 </t>
  </si>
  <si>
    <t>Fouilles en rigoles</t>
  </si>
  <si>
    <t>000-A325</t>
  </si>
  <si>
    <t xml:space="preserve">3.1.1.3 </t>
  </si>
  <si>
    <t>Évacuation des terres excédentaires issues des fouilles</t>
  </si>
  <si>
    <t>000-A326</t>
  </si>
  <si>
    <t>3.1.2</t>
  </si>
  <si>
    <t>GROS BETON OU BETON DE PROPRETE</t>
  </si>
  <si>
    <t xml:space="preserve">3.1.2.1 </t>
  </si>
  <si>
    <t>Gros béton - Béton de rattrapage X0 C20/25</t>
  </si>
  <si>
    <t>000-A332</t>
  </si>
  <si>
    <t xml:space="preserve">3.1.2.2 </t>
  </si>
  <si>
    <t>Béton de propreté X0 C16/20 - Ep. 5 cm</t>
  </si>
  <si>
    <t>m²</t>
  </si>
  <si>
    <t>000-A333</t>
  </si>
  <si>
    <t>3.1.3</t>
  </si>
  <si>
    <t>SEMELLES ISOLEES</t>
  </si>
  <si>
    <t xml:space="preserve">3.1.3.1 </t>
  </si>
  <si>
    <t>Coffrage pour semelle isolée</t>
  </si>
  <si>
    <t>000-A337</t>
  </si>
  <si>
    <t xml:space="preserve">3.1.3.2 </t>
  </si>
  <si>
    <t>Aciers HA  pour semelle isolée</t>
  </si>
  <si>
    <t>Kg</t>
  </si>
  <si>
    <t>000-A338</t>
  </si>
  <si>
    <t xml:space="preserve">3.1.3.3 </t>
  </si>
  <si>
    <t>Béton pour semelle isolée : XC2 C25/30</t>
  </si>
  <si>
    <t>000-A339</t>
  </si>
  <si>
    <t>3.1.4</t>
  </si>
  <si>
    <t>SEMELLES FILANTES</t>
  </si>
  <si>
    <t xml:space="preserve">3.1.4.1 </t>
  </si>
  <si>
    <t>Coffrage pour semelle filante</t>
  </si>
  <si>
    <t>000-A334</t>
  </si>
  <si>
    <t xml:space="preserve">3.1.4.2 </t>
  </si>
  <si>
    <t>Aciers HA pour semelle filante</t>
  </si>
  <si>
    <t>000-A336</t>
  </si>
  <si>
    <t xml:space="preserve">3.1.4.3 </t>
  </si>
  <si>
    <t>Béton pour semelle filante : XC2 C25/30</t>
  </si>
  <si>
    <t>000-A335</t>
  </si>
  <si>
    <t>3.1.5</t>
  </si>
  <si>
    <t>TIRANTS PARASISMIQUES</t>
  </si>
  <si>
    <t xml:space="preserve">3.1.5.1 </t>
  </si>
  <si>
    <t>Coffrage pour tirants parasismiques</t>
  </si>
  <si>
    <t>000-E944</t>
  </si>
  <si>
    <t xml:space="preserve">3.1.5.2 </t>
  </si>
  <si>
    <t>Aciers HA pour tirants parasismiques</t>
  </si>
  <si>
    <t>000-E945</t>
  </si>
  <si>
    <t xml:space="preserve">3.1.5.3 </t>
  </si>
  <si>
    <t>Béton pour tirants parasismiques : XC2 C25/30</t>
  </si>
  <si>
    <t>000-E946</t>
  </si>
  <si>
    <t>3.1.6</t>
  </si>
  <si>
    <t>LONGRINES</t>
  </si>
  <si>
    <t xml:space="preserve">3.1.6.1 </t>
  </si>
  <si>
    <t>Coffrage pour longrine enterrées</t>
  </si>
  <si>
    <t>000-A344</t>
  </si>
  <si>
    <t xml:space="preserve">3.1.6.2 </t>
  </si>
  <si>
    <t>Aciers HA pour longrine</t>
  </si>
  <si>
    <t>000-A346</t>
  </si>
  <si>
    <t xml:space="preserve">3.1.6.3 </t>
  </si>
  <si>
    <t>Béton pour longrine : XC2 C25/30</t>
  </si>
  <si>
    <t>000-A347</t>
  </si>
  <si>
    <t>Total FONDATIONS DU COLLECTIF</t>
  </si>
  <si>
    <t>3.2</t>
  </si>
  <si>
    <t>DALLAGES ET OUVRAGES LIES DU COLLECTIF</t>
  </si>
  <si>
    <t>3.2.1</t>
  </si>
  <si>
    <t>PREPARATION DE PLATEFORME</t>
  </si>
  <si>
    <t xml:space="preserve">3.2.1.1 </t>
  </si>
  <si>
    <t>Réglage du fond de forme et feutre géotextile</t>
  </si>
  <si>
    <t>000-A371</t>
  </si>
  <si>
    <t>3.2.2</t>
  </si>
  <si>
    <t>ISOLATION SOUS DALLAGE</t>
  </si>
  <si>
    <t xml:space="preserve">3.2.2.1 </t>
  </si>
  <si>
    <t>Isolation sous dallage ép 100 mm R= 3.00m².K/W</t>
  </si>
  <si>
    <t>000-A374</t>
  </si>
  <si>
    <t>3.2.3</t>
  </si>
  <si>
    <t>DALLAGES EN BETON</t>
  </si>
  <si>
    <t xml:space="preserve">3.2.3.1 </t>
  </si>
  <si>
    <t>Couche de réglage épaisseur 5cm</t>
  </si>
  <si>
    <t>000-F577</t>
  </si>
  <si>
    <t xml:space="preserve">3.2.3.2 </t>
  </si>
  <si>
    <t>Aciers Treillis Soudé</t>
  </si>
  <si>
    <t>kg</t>
  </si>
  <si>
    <t>000-E309</t>
  </si>
  <si>
    <t xml:space="preserve">3.2.3.3 </t>
  </si>
  <si>
    <t>Aciers Haute Adhérence</t>
  </si>
  <si>
    <t>000-E310</t>
  </si>
  <si>
    <t xml:space="preserve">3.2.3.4 </t>
  </si>
  <si>
    <t>Béton pour dallage : XC2 C25/30</t>
  </si>
  <si>
    <t>000-E311</t>
  </si>
  <si>
    <t>3.2.4</t>
  </si>
  <si>
    <t>FINITIONS DE DALLAGES</t>
  </si>
  <si>
    <t xml:space="preserve">3.2.4.1 </t>
  </si>
  <si>
    <t>Cunette périmétrique</t>
  </si>
  <si>
    <t>000-A383</t>
  </si>
  <si>
    <t>3.2.5</t>
  </si>
  <si>
    <t>RESEAUX ENTERRES SOUS DALLAGE</t>
  </si>
  <si>
    <t>3.2.5.1</t>
  </si>
  <si>
    <t>RESEAU EAUX PLUVIALES</t>
  </si>
  <si>
    <t>CH6</t>
  </si>
  <si>
    <t xml:space="preserve">3.2.5.1.1 </t>
  </si>
  <si>
    <t>EP : Fouilles en tranchée + canalisation Ø110mm</t>
  </si>
  <si>
    <t>000-A388</t>
  </si>
  <si>
    <t>3.2.5.2</t>
  </si>
  <si>
    <t>RESEAU EAUX USEE - EAUX VANNES</t>
  </si>
  <si>
    <t xml:space="preserve">3.2.5.2.1 </t>
  </si>
  <si>
    <t>EU-EV : Fouilles en tranchée + canalisation Ø100mm</t>
  </si>
  <si>
    <t>000-A391</t>
  </si>
  <si>
    <t>3.2.5.3</t>
  </si>
  <si>
    <t>RESEAU ELECTRIQUE</t>
  </si>
  <si>
    <t xml:space="preserve">3.2.5.3.1 </t>
  </si>
  <si>
    <t>Électricité : Fouilles en tranchée + fourreau TPC Ø 110 mm</t>
  </si>
  <si>
    <t>000-A397</t>
  </si>
  <si>
    <t>3.2.5.4</t>
  </si>
  <si>
    <t>RESEAU TELECOM</t>
  </si>
  <si>
    <t xml:space="preserve">3.2.5.4.1 </t>
  </si>
  <si>
    <t>Télécom : Fouilles en tranchée + 3xPVC Ø 42/45 mm</t>
  </si>
  <si>
    <t>LR1-A236</t>
  </si>
  <si>
    <t>3.2.5.5</t>
  </si>
  <si>
    <t>RESEAU EAU POTABLE</t>
  </si>
  <si>
    <t xml:space="preserve">3.2.5.5.1 </t>
  </si>
  <si>
    <t>Eau potable : Fouilles en tranchée + fourreau + PEHD DN25mm</t>
  </si>
  <si>
    <t>000-I379</t>
  </si>
  <si>
    <t xml:space="preserve">3.2.5.5.2 </t>
  </si>
  <si>
    <t>Eau potable : Fouilles en tranchée + fourreau + PEHD DN32mm</t>
  </si>
  <si>
    <t>000-C093</t>
  </si>
  <si>
    <t>3.2.5.6</t>
  </si>
  <si>
    <t>REGARDS - SIPHONS - CANIVEAUX</t>
  </si>
  <si>
    <t xml:space="preserve">3.2.5.6.1 </t>
  </si>
  <si>
    <t>Regard béton 40 x 40 x 50 cm ht, tampon grille série légère</t>
  </si>
  <si>
    <t>000-A407</t>
  </si>
  <si>
    <t xml:space="preserve">3.2.5.6.2 </t>
  </si>
  <si>
    <t>Regard béton pour pompe de relevage 80 x 80 x 80 cm ht</t>
  </si>
  <si>
    <t>000-A410</t>
  </si>
  <si>
    <t>Total DALLAGES ET OUVRAGES LIES DU COLLECTIF</t>
  </si>
  <si>
    <t>3.3</t>
  </si>
  <si>
    <t>TRAVAUX D'INFRASTRUCTURE DU COLLECTIF</t>
  </si>
  <si>
    <t>3.3.1</t>
  </si>
  <si>
    <t>INFRA - VOILES PERIPHERIQUES EN BETON ARME</t>
  </si>
  <si>
    <t xml:space="preserve">3.3.1.1 </t>
  </si>
  <si>
    <t>Coffrage à parement courant</t>
  </si>
  <si>
    <t>000-A427</t>
  </si>
  <si>
    <t xml:space="preserve">3.3.1.2 </t>
  </si>
  <si>
    <t>000-A432</t>
  </si>
  <si>
    <t xml:space="preserve">3.3.1.3 </t>
  </si>
  <si>
    <t>000-A431</t>
  </si>
  <si>
    <t xml:space="preserve">3.3.1.4 </t>
  </si>
  <si>
    <t>Béton pour voiles périphériques en infrastructure : XC2 C25/30</t>
  </si>
  <si>
    <t>000-A434</t>
  </si>
  <si>
    <t>3.3.2</t>
  </si>
  <si>
    <t>INFRA - VOILES PERIPHERIQUES EN PREMURS</t>
  </si>
  <si>
    <t xml:space="preserve">3.3.2.1 </t>
  </si>
  <si>
    <t>Prémurs épaisseur 0.20m</t>
  </si>
  <si>
    <t>LR1-B262</t>
  </si>
  <si>
    <t>3.3.3</t>
  </si>
  <si>
    <t>INFRA - VOILES DE REFEND EN BETON ARME</t>
  </si>
  <si>
    <t xml:space="preserve">3.3.3.1 </t>
  </si>
  <si>
    <t>000-A445</t>
  </si>
  <si>
    <t xml:space="preserve">3.3.3.2 </t>
  </si>
  <si>
    <t>000-A451</t>
  </si>
  <si>
    <t xml:space="preserve">3.3.3.3 </t>
  </si>
  <si>
    <t>000-A452</t>
  </si>
  <si>
    <t xml:space="preserve">3.3.3.4 </t>
  </si>
  <si>
    <t>Béton pour voiles de refend en infrastructure : XC1 C25/30</t>
  </si>
  <si>
    <t>000-A453</t>
  </si>
  <si>
    <t>3.3.4</t>
  </si>
  <si>
    <t>INFRA - POTEAU EN BETON ARME</t>
  </si>
  <si>
    <t xml:space="preserve">3.3.4.1 </t>
  </si>
  <si>
    <t>000-A458</t>
  </si>
  <si>
    <t xml:space="preserve">3.3.4.2 </t>
  </si>
  <si>
    <t>000-A466</t>
  </si>
  <si>
    <t xml:space="preserve">3.3.4.3 </t>
  </si>
  <si>
    <t>Béton pour poteau en infrastructure : XC1 C25/30</t>
  </si>
  <si>
    <t>000-A470</t>
  </si>
  <si>
    <t>3.3.5</t>
  </si>
  <si>
    <t>INFRA - POUTRES EN BETON ARME</t>
  </si>
  <si>
    <t xml:space="preserve">3.3.5.1 </t>
  </si>
  <si>
    <t>000-A471</t>
  </si>
  <si>
    <t xml:space="preserve">3.3.5.2 </t>
  </si>
  <si>
    <t>000-A475</t>
  </si>
  <si>
    <t xml:space="preserve">3.3.5.3 </t>
  </si>
  <si>
    <t>Béton pour poutres en infrastructure : XC1 C25/30</t>
  </si>
  <si>
    <t>000-A476</t>
  </si>
  <si>
    <t>3.3.6</t>
  </si>
  <si>
    <t>INFRA - PLANCHER BETON ARME COULE EN PLACE</t>
  </si>
  <si>
    <t xml:space="preserve">3.3.6.1 </t>
  </si>
  <si>
    <t>000-A477</t>
  </si>
  <si>
    <t xml:space="preserve">3.3.6.2 </t>
  </si>
  <si>
    <t>000-A479</t>
  </si>
  <si>
    <t xml:space="preserve">3.3.6.3 </t>
  </si>
  <si>
    <t>000-A480</t>
  </si>
  <si>
    <t xml:space="preserve">3.3.6.4 </t>
  </si>
  <si>
    <t>Béton pour plancher en infrastructure : XC1 C25/30</t>
  </si>
  <si>
    <t>000-A483</t>
  </si>
  <si>
    <t>3.3.7</t>
  </si>
  <si>
    <t>OUVRAGES DIVERS D'INFRASTRUCTURE</t>
  </si>
  <si>
    <t>3.3.7.1</t>
  </si>
  <si>
    <t>MURS ET CLOISONS EN AGGLOS</t>
  </si>
  <si>
    <t xml:space="preserve">3.3.7.1.1 </t>
  </si>
  <si>
    <t>Cloisons en aggloméré de béton creux - épaisseur 7cm</t>
  </si>
  <si>
    <t>000-H697</t>
  </si>
  <si>
    <t xml:space="preserve">3.3.7.1.2 </t>
  </si>
  <si>
    <t>Cloisons en aggloméré de béton creux - épaisseur 10cm</t>
  </si>
  <si>
    <t>000-H698</t>
  </si>
  <si>
    <t>3.3.7.2</t>
  </si>
  <si>
    <t>IMPERMEABILISATION</t>
  </si>
  <si>
    <t xml:space="preserve">3.3.7.2.1 </t>
  </si>
  <si>
    <t>Enduit bitumineux épais sur parties enterrées</t>
  </si>
  <si>
    <t>000-B033</t>
  </si>
  <si>
    <t>3.3.7.3</t>
  </si>
  <si>
    <t>DRAINAGE ET PROTECTION DES MURS ENTERRES</t>
  </si>
  <si>
    <t xml:space="preserve">3.3.7.3.1 </t>
  </si>
  <si>
    <t>Membrane à excroissance de protection de murs enterrés</t>
  </si>
  <si>
    <t>000-B036</t>
  </si>
  <si>
    <t xml:space="preserve">3.3.7.3.2 </t>
  </si>
  <si>
    <t>Drainage en pied de mur compris regards de visite</t>
  </si>
  <si>
    <t>LA1-C251</t>
  </si>
  <si>
    <t>3.3.7.4</t>
  </si>
  <si>
    <t>GAINE DE VENTILATION ENTERREE</t>
  </si>
  <si>
    <t xml:space="preserve">3.3.7.4.1 </t>
  </si>
  <si>
    <t>Gaine de ventilation : Section utile 1.05 x 0.60m ht</t>
  </si>
  <si>
    <t>000-B041</t>
  </si>
  <si>
    <t>3.3.7.5</t>
  </si>
  <si>
    <t>COURETTE ANGLAISE</t>
  </si>
  <si>
    <t xml:space="preserve">3.3.7.5.1 </t>
  </si>
  <si>
    <t>Courette anglaise formant édicule : Section intérieure 0.60x1.05x2.40ht + édicule 0.60 x 1.05 x 0.90m ht.</t>
  </si>
  <si>
    <t>000-F611</t>
  </si>
  <si>
    <t>3.3.7.6</t>
  </si>
  <si>
    <t>BAC A SABLE</t>
  </si>
  <si>
    <t xml:space="preserve">3.3.7.6.1 </t>
  </si>
  <si>
    <t>Bac à sable</t>
  </si>
  <si>
    <t>000-B043</t>
  </si>
  <si>
    <t>Total TRAVAUX D'INFRASTRUCTURE DU COLLECTIF</t>
  </si>
  <si>
    <t>3.4</t>
  </si>
  <si>
    <t>TRAVAUX DE SUPERSTRUCTURE DU COLLECTIF</t>
  </si>
  <si>
    <t>3.4.1</t>
  </si>
  <si>
    <t>SUPER - VOILES PERIPHERIQUES EN BETON ARME</t>
  </si>
  <si>
    <t xml:space="preserve">3.4.1.1 </t>
  </si>
  <si>
    <t>000-B048</t>
  </si>
  <si>
    <t xml:space="preserve">3.4.1.2 </t>
  </si>
  <si>
    <t>000-B054</t>
  </si>
  <si>
    <t xml:space="preserve">3.4.1.3 </t>
  </si>
  <si>
    <t>000-B055</t>
  </si>
  <si>
    <t xml:space="preserve">3.4.1.4 </t>
  </si>
  <si>
    <t>Béton pour voiles périphériques en superstructure : XF1 C25/30</t>
  </si>
  <si>
    <t>000-B056</t>
  </si>
  <si>
    <t>3.4.2</t>
  </si>
  <si>
    <t>SUPER - MURS PERIPHERIQUES EN AGGLOS ISOLANTS</t>
  </si>
  <si>
    <t xml:space="preserve">3.4.2.1 </t>
  </si>
  <si>
    <t>Relevé BA en pied de façade agglos isolants - Dim. 20x15 à 40 cm ht - Terrasse et balcon</t>
  </si>
  <si>
    <t>LA1-D384</t>
  </si>
  <si>
    <t xml:space="preserve">3.4.2.2 </t>
  </si>
  <si>
    <t>Murs en agglos isolants épaisseur 20 cm</t>
  </si>
  <si>
    <t>000-G096</t>
  </si>
  <si>
    <t xml:space="preserve">3.4.2.3 </t>
  </si>
  <si>
    <t>Arase béton armé support de charpente - profil droit</t>
  </si>
  <si>
    <t>000-G102</t>
  </si>
  <si>
    <t xml:space="preserve">3.4.2.4 </t>
  </si>
  <si>
    <t>Arase béton armé support de charpente - profil rampant</t>
  </si>
  <si>
    <t>000-G103</t>
  </si>
  <si>
    <t xml:space="preserve">3.4.2.5 </t>
  </si>
  <si>
    <t>Ménagement de prises et garnissages après coup pour charpente</t>
  </si>
  <si>
    <t>Ens</t>
  </si>
  <si>
    <t>000-G104</t>
  </si>
  <si>
    <t xml:space="preserve">3.4.2.6 </t>
  </si>
  <si>
    <t>Planelle isolée d'about de dalleR=0.70 m².K/W</t>
  </si>
  <si>
    <t>000-G100</t>
  </si>
  <si>
    <t>3.4.3</t>
  </si>
  <si>
    <t>SUPER - VOILES DE REFEND EN BETON ARME</t>
  </si>
  <si>
    <t xml:space="preserve">3.4.3.1 </t>
  </si>
  <si>
    <t>000-B084</t>
  </si>
  <si>
    <t xml:space="preserve">3.4.3.2 </t>
  </si>
  <si>
    <t>Arasement de mur sous toiture - profil droit ou rampant</t>
  </si>
  <si>
    <t>000-B095</t>
  </si>
  <si>
    <t xml:space="preserve">3.4.3.3 </t>
  </si>
  <si>
    <t>Incorporation d'huisseries à bancher 1 vantail</t>
  </si>
  <si>
    <t>000-B088</t>
  </si>
  <si>
    <t xml:space="preserve">3.4.3.4 </t>
  </si>
  <si>
    <t>000-B091</t>
  </si>
  <si>
    <t xml:space="preserve">3.4.3.5 </t>
  </si>
  <si>
    <t>000-B092</t>
  </si>
  <si>
    <t xml:space="preserve">3.4.3.6 </t>
  </si>
  <si>
    <t>Béton pour voiles de refend en superstructure : XC1 C25/30</t>
  </si>
  <si>
    <t>000-B093</t>
  </si>
  <si>
    <t>3.4.4</t>
  </si>
  <si>
    <t>SUPER - POTEAU EN BETON ARME</t>
  </si>
  <si>
    <t xml:space="preserve">3.4.4.1 </t>
  </si>
  <si>
    <t>000-B098</t>
  </si>
  <si>
    <t xml:space="preserve">3.4.4.2 </t>
  </si>
  <si>
    <t>Coffrage à parement soigné</t>
  </si>
  <si>
    <t>000-B099</t>
  </si>
  <si>
    <t xml:space="preserve">3.4.4.3 </t>
  </si>
  <si>
    <t>000-B102</t>
  </si>
  <si>
    <t xml:space="preserve">3.4.4.4 </t>
  </si>
  <si>
    <t>Béton pour poteau en superstructure : XC1 C25/30</t>
  </si>
  <si>
    <t>000-B103</t>
  </si>
  <si>
    <t>3.4.5</t>
  </si>
  <si>
    <t>SUPER - POUTRES EN BETON ARME</t>
  </si>
  <si>
    <t xml:space="preserve">3.4.5.1 </t>
  </si>
  <si>
    <t>000-B105</t>
  </si>
  <si>
    <t xml:space="preserve">3.4.5.2 </t>
  </si>
  <si>
    <t>000-B107</t>
  </si>
  <si>
    <t xml:space="preserve">3.4.5.3 </t>
  </si>
  <si>
    <t>Aciers Haute Adhérence pour poutres voiles</t>
  </si>
  <si>
    <t>000-D128</t>
  </si>
  <si>
    <t xml:space="preserve">3.4.5.4 </t>
  </si>
  <si>
    <t>Aciers Haute Adhérence pour poutres linteaux</t>
  </si>
  <si>
    <t>000-D129</t>
  </si>
  <si>
    <t xml:space="preserve">3.4.5.5 </t>
  </si>
  <si>
    <t>Aciers Treillis Soudé pour poutres voiles</t>
  </si>
  <si>
    <t>000-C773</t>
  </si>
  <si>
    <t xml:space="preserve">3.4.5.6 </t>
  </si>
  <si>
    <t>Béton pour poutres en superstructure : XC1 C25/30</t>
  </si>
  <si>
    <t>000-B108</t>
  </si>
  <si>
    <t>3.4.6</t>
  </si>
  <si>
    <t>SUPER - PLANCHER BETON ARME COULE EN PLACE</t>
  </si>
  <si>
    <t xml:space="preserve">3.4.6.1 </t>
  </si>
  <si>
    <t>000-B109</t>
  </si>
  <si>
    <t xml:space="preserve">3.4.6.2 </t>
  </si>
  <si>
    <t>000-B116</t>
  </si>
  <si>
    <t xml:space="preserve">3.4.6.3 </t>
  </si>
  <si>
    <t>000-B112</t>
  </si>
  <si>
    <t xml:space="preserve">3.4.6.4 </t>
  </si>
  <si>
    <t>000-B113</t>
  </si>
  <si>
    <t xml:space="preserve">3.4.6.5 </t>
  </si>
  <si>
    <t>Béton pour plancher en superstructure : XC1 C25/30</t>
  </si>
  <si>
    <t>000-B114</t>
  </si>
  <si>
    <t>3.4.7</t>
  </si>
  <si>
    <t>SUPER - FINITION DE PLANCHERS</t>
  </si>
  <si>
    <t xml:space="preserve">3.4.7.1 </t>
  </si>
  <si>
    <t>Façon de pente 1.5 %</t>
  </si>
  <si>
    <t>000-B124</t>
  </si>
  <si>
    <t xml:space="preserve">3.4.7.2 </t>
  </si>
  <si>
    <t>Façon de cunette en rive de dalle largeur 10 cm</t>
  </si>
  <si>
    <t>000-B111</t>
  </si>
  <si>
    <t xml:space="preserve">3.4.7.3 </t>
  </si>
  <si>
    <t>Décaissé dans dalle pour adaptation future douche PMR</t>
  </si>
  <si>
    <t>000-E195</t>
  </si>
  <si>
    <t>3.4.8</t>
  </si>
  <si>
    <t>SUPER - CHAPES ET RECHARGES</t>
  </si>
  <si>
    <t xml:space="preserve">3.4.8.1 </t>
  </si>
  <si>
    <t>Recharge en béton sur domisol épaisseur totale 16cm</t>
  </si>
  <si>
    <t>000-B128</t>
  </si>
  <si>
    <t>3.4.9</t>
  </si>
  <si>
    <t>OUVRAGES DIVERS DE SUPERSTRUCTURE</t>
  </si>
  <si>
    <t>3.4.9.1</t>
  </si>
  <si>
    <t>ESCALIER BETON</t>
  </si>
  <si>
    <t xml:space="preserve">3.4.9.1.1 </t>
  </si>
  <si>
    <t>Escalier tout compris ht à franchir 1.00 m sur terre plein - RDC</t>
  </si>
  <si>
    <t>000-B134</t>
  </si>
  <si>
    <t xml:space="preserve">3.4.9.1.2 </t>
  </si>
  <si>
    <t>Escalier tout compris ht à franchir 1.80 m sur terre plein - RDC</t>
  </si>
  <si>
    <t>000-I070</t>
  </si>
  <si>
    <t xml:space="preserve">3.4.9.1.3 </t>
  </si>
  <si>
    <t>Escalier tout compris ht à franchir 1.80 m - RDC</t>
  </si>
  <si>
    <t>000-I071</t>
  </si>
  <si>
    <t xml:space="preserve">3.4.9.1.4 </t>
  </si>
  <si>
    <t>Escalier tout compris ht à franchir 0.94 m - R+1</t>
  </si>
  <si>
    <t>000-I072</t>
  </si>
  <si>
    <t xml:space="preserve">3.4.9.1.5 </t>
  </si>
  <si>
    <t>Escalier tout compris ht à franchir 1.80 m - R+1</t>
  </si>
  <si>
    <t>000-I074</t>
  </si>
  <si>
    <t>3.4.9.2</t>
  </si>
  <si>
    <t xml:space="preserve">3.4.9.2.1 </t>
  </si>
  <si>
    <t>Cloisons en aggloméré de béton plein - épaisseur 10cm</t>
  </si>
  <si>
    <t>000-B180</t>
  </si>
  <si>
    <t>3.4.9.3</t>
  </si>
  <si>
    <t>SEUILS ET APPUIS DE BAIE</t>
  </si>
  <si>
    <t xml:space="preserve">3.4.9.3.1 </t>
  </si>
  <si>
    <t>Seuil non saillant pour mur ép. 0.18 à 0.20 ml</t>
  </si>
  <si>
    <t>000-B147</t>
  </si>
  <si>
    <t xml:space="preserve">3.4.9.3.2 </t>
  </si>
  <si>
    <t>Appui de baie non saillant pour mur ép. 0.18 à 0.20 ml</t>
  </si>
  <si>
    <t>000-B146</t>
  </si>
  <si>
    <t>3.4.9.4</t>
  </si>
  <si>
    <t>JOINTS DE DILATATION</t>
  </si>
  <si>
    <t xml:space="preserve">3.4.9.4.1 </t>
  </si>
  <si>
    <t>Joint de dilatation alvéolaire</t>
  </si>
  <si>
    <t>000-B155</t>
  </si>
  <si>
    <t xml:space="preserve">3.4.9.4.2 </t>
  </si>
  <si>
    <t>Joint coupe feu 1H00</t>
  </si>
  <si>
    <t>000-B158</t>
  </si>
  <si>
    <t>3.4.9.5</t>
  </si>
  <si>
    <t>RESERVATIONS</t>
  </si>
  <si>
    <t xml:space="preserve">3.4.9.5.1 </t>
  </si>
  <si>
    <t>Réservation et garnissage divers</t>
  </si>
  <si>
    <t>000-B169</t>
  </si>
  <si>
    <t xml:space="preserve">3.4.9.5.2 </t>
  </si>
  <si>
    <t>Réservation et pose de coffrets dans murs de façades</t>
  </si>
  <si>
    <t>000-B168</t>
  </si>
  <si>
    <t>3.4.9.6</t>
  </si>
  <si>
    <t>GARNISSAGES TREMIES</t>
  </si>
  <si>
    <t xml:space="preserve">3.4.9.6.1 </t>
  </si>
  <si>
    <t>Garnissage GT palière</t>
  </si>
  <si>
    <t>000-B173</t>
  </si>
  <si>
    <t xml:space="preserve">3.4.9.6.2 </t>
  </si>
  <si>
    <t>Garnissage GT sanitaires</t>
  </si>
  <si>
    <t>000-B172</t>
  </si>
  <si>
    <t>3.4.9.7</t>
  </si>
  <si>
    <t>SOCLES BETON</t>
  </si>
  <si>
    <t xml:space="preserve">3.4.9.7.1 </t>
  </si>
  <si>
    <t>Dimensions 1.20 x 1.20 x 0.10 m ht</t>
  </si>
  <si>
    <t>000-B196</t>
  </si>
  <si>
    <t>3.4.9.8</t>
  </si>
  <si>
    <t>RELEVE EN BETON ARME</t>
  </si>
  <si>
    <t xml:space="preserve">3.4.9.8.1 </t>
  </si>
  <si>
    <t>Relevé BA épaisseur 16 x hauteur 15 à 30 cm</t>
  </si>
  <si>
    <t>000-B197</t>
  </si>
  <si>
    <t>3.4.9.9</t>
  </si>
  <si>
    <t>GARDE CORPS EN BETON ARME</t>
  </si>
  <si>
    <t xml:space="preserve">3.4.9.9.1 </t>
  </si>
  <si>
    <t>Épaisseur 16 cm x hauteur 130 cm</t>
  </si>
  <si>
    <t>000-B201</t>
  </si>
  <si>
    <t>3.4.9.10</t>
  </si>
  <si>
    <t>ACROTERES EN BETON ARME</t>
  </si>
  <si>
    <t xml:space="preserve">3.4.9.10.1 </t>
  </si>
  <si>
    <t>Acrotère épaisseur 18 x hauteur 138 cm</t>
  </si>
  <si>
    <t>000-B204</t>
  </si>
  <si>
    <t xml:space="preserve">3.4.9.10.2 </t>
  </si>
  <si>
    <t>Acrotère épaisseur 18 x hauteur 38 à 138 cm variable</t>
  </si>
  <si>
    <t>000-I382</t>
  </si>
  <si>
    <t>3.4.9.11</t>
  </si>
  <si>
    <t>SOUCHES SUR TOITURE TERRASSE</t>
  </si>
  <si>
    <t xml:space="preserve">3.4.9.11.1 </t>
  </si>
  <si>
    <t>Dimensions 1.00 x 1.00 x 0.80 m ht</t>
  </si>
  <si>
    <t>000-B217</t>
  </si>
  <si>
    <t>3.4.9.12</t>
  </si>
  <si>
    <t>TRAVAUX DIVERS</t>
  </si>
  <si>
    <t>3.4.9.12.1</t>
  </si>
  <si>
    <t>EVACUATIONS EAUX PLUVIALES</t>
  </si>
  <si>
    <t xml:space="preserve">3.4.9.12.1.1 </t>
  </si>
  <si>
    <t>Trop plein et jet de volée - Diamètre 60 mm</t>
  </si>
  <si>
    <t>000-B223</t>
  </si>
  <si>
    <t xml:space="preserve">3.4.9.12.1.2 </t>
  </si>
  <si>
    <t>Avaloirs de balcons pour EP 100 mm</t>
  </si>
  <si>
    <t>000-B231</t>
  </si>
  <si>
    <t>Total TRAVAUX DE SUPERSTRUCTURE DU COLLECTIF</t>
  </si>
  <si>
    <t>3.5</t>
  </si>
  <si>
    <t>ISOLATION THERMIQUE DES TOITURES DU COLLECTIF</t>
  </si>
  <si>
    <t xml:space="preserve">3.5.1 </t>
  </si>
  <si>
    <t>Isolation thermique soufflée en laine</t>
  </si>
  <si>
    <t>000-G269</t>
  </si>
  <si>
    <t>Total ISOLATION THERMIQUE DES TOITURES DU COLLECTIF</t>
  </si>
  <si>
    <t>3.6</t>
  </si>
  <si>
    <t>FLOCAGE DU COLLECTIF</t>
  </si>
  <si>
    <t>3.6.1</t>
  </si>
  <si>
    <t>PROJECTION THERMIQUE ET COUPE-FEU SOUS DALLE BETON PAR LAINE MINERALE PROJETEE - REI60</t>
  </si>
  <si>
    <t xml:space="preserve">3.6.1.1 </t>
  </si>
  <si>
    <t>En sous face de dalle épaisseur 120mm - R= 3.15 (m².K)/W</t>
  </si>
  <si>
    <t>000-B274</t>
  </si>
  <si>
    <t>3.6.2</t>
  </si>
  <si>
    <t>GAINE CF2H EN TOLE D'ACIER GALVANISE + FLOCAGE LAINE MINERALE</t>
  </si>
  <si>
    <t xml:space="preserve">3.6.2.1 </t>
  </si>
  <si>
    <t>Gaine floquée horizontale - Section intérieure : 105 x 60 mm</t>
  </si>
  <si>
    <t>000-A133</t>
  </si>
  <si>
    <t xml:space="preserve">3.6.2.2 </t>
  </si>
  <si>
    <t>Gaine floquée verticale pour traversée de combles - Section intérieure 15 x 15 mm</t>
  </si>
  <si>
    <t>LA1-E126</t>
  </si>
  <si>
    <t>Total FLOCAGE DU COLLECTIF</t>
  </si>
  <si>
    <t>3.7</t>
  </si>
  <si>
    <t>OUVRAGES D'AMENAGEMENTS EXTERIEURS DU COLLECTIF</t>
  </si>
  <si>
    <t>3.7.1</t>
  </si>
  <si>
    <t>MUR DE CLOTURE EN BA</t>
  </si>
  <si>
    <t xml:space="preserve">3.7.1.1 </t>
  </si>
  <si>
    <t>Muret béton - hauteur vue 1.20 m x ép. 0.20 ml</t>
  </si>
  <si>
    <t>000-B236</t>
  </si>
  <si>
    <t xml:space="preserve">3.7.1.2 </t>
  </si>
  <si>
    <t>Muret béton - hauteur vue : 0.50 m x ép. 0.20 ml - Rampant</t>
  </si>
  <si>
    <t>000-I077</t>
  </si>
  <si>
    <t>3.7.2</t>
  </si>
  <si>
    <t>MUR DE CLOTURE EN AGGLOS</t>
  </si>
  <si>
    <t xml:space="preserve">3.7.2.1 </t>
  </si>
  <si>
    <t>Muret agglo - hauteur vue 1.80 m x ép. 0.20 cm compris mortier ciment 2 faces</t>
  </si>
  <si>
    <t>000-B238</t>
  </si>
  <si>
    <t>3.7.3</t>
  </si>
  <si>
    <t>MUR DE SOUTENEMENT EN BA</t>
  </si>
  <si>
    <t xml:space="preserve">3.7.3.1 </t>
  </si>
  <si>
    <t>Mur de soutènement béton - hauteur vue 0.70 m x ép. 0.20 cm</t>
  </si>
  <si>
    <t>000-I377</t>
  </si>
  <si>
    <t xml:space="preserve">3.7.3.2 </t>
  </si>
  <si>
    <t>Mur de soutènement béton - hauteur vue 1.00 m x ép. 0.20 cm</t>
  </si>
  <si>
    <t>000-B239</t>
  </si>
  <si>
    <t xml:space="preserve">3.7.3.3 </t>
  </si>
  <si>
    <t>Mur de soutènement béton escaliers - hauteur 3.63 m x ép. 0.20 ml - formant relevé</t>
  </si>
  <si>
    <t>000-I373</t>
  </si>
  <si>
    <t xml:space="preserve">3.7.3.4 </t>
  </si>
  <si>
    <t>Mur de soutènement béton - hauteur vue variable pour rampe 1.52 à 3.63 m x ép. 0.20 cm</t>
  </si>
  <si>
    <t>000-I078</t>
  </si>
  <si>
    <t>3.7.4</t>
  </si>
  <si>
    <t>ESCALIER BETON SUR TERRE PLEIN</t>
  </si>
  <si>
    <t xml:space="preserve">3.7.4.1 </t>
  </si>
  <si>
    <t>Escalier tout compris ht à franchir 2.94 m sur terre plein - finition béton lisse</t>
  </si>
  <si>
    <t>000-B241</t>
  </si>
  <si>
    <t>3.7.5</t>
  </si>
  <si>
    <t>DALLAGES</t>
  </si>
  <si>
    <t xml:space="preserve">3.7.5.1 </t>
  </si>
  <si>
    <t>Dallage BA ep 15 cm</t>
  </si>
  <si>
    <t>000-B245</t>
  </si>
  <si>
    <t>Total OUVRAGES D'AMENAGEMENTS EXTERIEURS DU COLLECTIF</t>
  </si>
  <si>
    <t>4.1</t>
  </si>
  <si>
    <t>FONDATIONS DES VILLAS</t>
  </si>
  <si>
    <t>4.1.1</t>
  </si>
  <si>
    <t xml:space="preserve">4.1.1.1 </t>
  </si>
  <si>
    <t>000-H538</t>
  </si>
  <si>
    <t xml:space="preserve">4.1.1.2 </t>
  </si>
  <si>
    <t>000-H539</t>
  </si>
  <si>
    <t xml:space="preserve">4.1.1.3 </t>
  </si>
  <si>
    <t>000-H540</t>
  </si>
  <si>
    <t>4.1.2</t>
  </si>
  <si>
    <t xml:space="preserve">4.1.2.1 </t>
  </si>
  <si>
    <t>000-H542</t>
  </si>
  <si>
    <t xml:space="preserve">4.1.2.2 </t>
  </si>
  <si>
    <t>000-H543</t>
  </si>
  <si>
    <t>4.1.3</t>
  </si>
  <si>
    <t xml:space="preserve">4.1.3.1 </t>
  </si>
  <si>
    <t>000-H544</t>
  </si>
  <si>
    <t xml:space="preserve">4.1.3.2 </t>
  </si>
  <si>
    <t>000-H545</t>
  </si>
  <si>
    <t xml:space="preserve">4.1.3.3 </t>
  </si>
  <si>
    <t>000-H546</t>
  </si>
  <si>
    <t>4.1.4</t>
  </si>
  <si>
    <t xml:space="preserve">4.1.4.1 </t>
  </si>
  <si>
    <t>000-H547</t>
  </si>
  <si>
    <t xml:space="preserve">4.1.4.2 </t>
  </si>
  <si>
    <t>000-H548</t>
  </si>
  <si>
    <t xml:space="preserve">4.1.4.3 </t>
  </si>
  <si>
    <t>000-H549</t>
  </si>
  <si>
    <t>4.1.5</t>
  </si>
  <si>
    <t xml:space="preserve">4.1.5.1 </t>
  </si>
  <si>
    <t>Coffrage pour longrine enterrées / soubassement</t>
  </si>
  <si>
    <t>000-H550</t>
  </si>
  <si>
    <t xml:space="preserve">4.1.5.2 </t>
  </si>
  <si>
    <t>000-H551</t>
  </si>
  <si>
    <t xml:space="preserve">4.1.5.3 </t>
  </si>
  <si>
    <t>000-H552</t>
  </si>
  <si>
    <t>Total FONDATIONS DES VILLAS</t>
  </si>
  <si>
    <t>4.2</t>
  </si>
  <si>
    <t>PLANCHERS BAS, DALLAGES ET OUVRAGES LIES DES VILLAS</t>
  </si>
  <si>
    <t>4.2.1</t>
  </si>
  <si>
    <t xml:space="preserve">4.2.1.1 </t>
  </si>
  <si>
    <t>000-I083</t>
  </si>
  <si>
    <t xml:space="preserve">4.2.1.2 </t>
  </si>
  <si>
    <t>000-I084</t>
  </si>
  <si>
    <t xml:space="preserve">4.2.1.3 </t>
  </si>
  <si>
    <t>000-I085</t>
  </si>
  <si>
    <t xml:space="preserve">4.2.1.4 </t>
  </si>
  <si>
    <t>000-I086</t>
  </si>
  <si>
    <t>4.2.2</t>
  </si>
  <si>
    <t>PLANCHER BAS SUR VIDE SANITAIRE POUTRELLES / HOURDIS</t>
  </si>
  <si>
    <t xml:space="preserve">4.2.2.1 </t>
  </si>
  <si>
    <t>Plancher poutrelles et hourdis épaisseur : 16+4cm</t>
  </si>
  <si>
    <t>000-H601</t>
  </si>
  <si>
    <t>4.2.3</t>
  </si>
  <si>
    <t>RESEAUX SOUS DALLAGE/PLANCHER POUTRELLES HOURDIS</t>
  </si>
  <si>
    <t>4.2.3.1</t>
  </si>
  <si>
    <t xml:space="preserve">4.2.3.1.1 </t>
  </si>
  <si>
    <t>EP : Canalisation PVC Ø100mm en vide sanitaire</t>
  </si>
  <si>
    <t>000-I103</t>
  </si>
  <si>
    <t xml:space="preserve">4.2.3.1.2 </t>
  </si>
  <si>
    <t>EP : Fouilles en tranchée + canalisation Ø100mm</t>
  </si>
  <si>
    <t>000-I089</t>
  </si>
  <si>
    <t>4.2.3.2</t>
  </si>
  <si>
    <t xml:space="preserve">4.2.3.2.1 </t>
  </si>
  <si>
    <t>EU-EV : Canalisation PVC Ø100mm en vide sanitaire</t>
  </si>
  <si>
    <t>000-I104</t>
  </si>
  <si>
    <t xml:space="preserve">4.2.3.2.2 </t>
  </si>
  <si>
    <t>000-I091</t>
  </si>
  <si>
    <t>4.2.3.3</t>
  </si>
  <si>
    <t xml:space="preserve">4.2.3.3.1 </t>
  </si>
  <si>
    <t>Fourreaux pénétration pour câble électrique</t>
  </si>
  <si>
    <t>000-I092</t>
  </si>
  <si>
    <t xml:space="preserve">4.2.3.3.2 </t>
  </si>
  <si>
    <t>Fourreaux pénétration câble TELECOM (réserve)</t>
  </si>
  <si>
    <t>000-I093</t>
  </si>
  <si>
    <t xml:space="preserve">4.2.3.3.3 </t>
  </si>
  <si>
    <t>Fourreaux pénétration bâtiment câble Fibre</t>
  </si>
  <si>
    <t>000-I392</t>
  </si>
  <si>
    <t xml:space="preserve">4.2.3.3.4 </t>
  </si>
  <si>
    <t>Fourreaux pénétration bâtiment câble cuivre</t>
  </si>
  <si>
    <t>000-I393</t>
  </si>
  <si>
    <t>4.2.3.4</t>
  </si>
  <si>
    <t xml:space="preserve">4.2.3.4.1 </t>
  </si>
  <si>
    <t>Eau potable : PEHD DN32 + fourreau TPC Ø 150 mm en vide sanitaire</t>
  </si>
  <si>
    <t>000-I094</t>
  </si>
  <si>
    <t xml:space="preserve">4.2.3.4.2 </t>
  </si>
  <si>
    <t>Eau potable : PEHD DN40 + fourreau TPC Ø 150 mm en vide sanitaire</t>
  </si>
  <si>
    <t>000-I102</t>
  </si>
  <si>
    <t xml:space="preserve">4.2.3.4.3 </t>
  </si>
  <si>
    <t>000-I105</t>
  </si>
  <si>
    <t>4.2.3.5</t>
  </si>
  <si>
    <t xml:space="preserve">4.2.3.5.1 </t>
  </si>
  <si>
    <t>Ventilation du vide technique par tube PVC coudé</t>
  </si>
  <si>
    <t>000-I097</t>
  </si>
  <si>
    <t>Total PLANCHERS BAS, DALLAGES ET OUVRAGES LIES DES VILLAS</t>
  </si>
  <si>
    <t>4.3</t>
  </si>
  <si>
    <t>TRAVAUX D'INFRASTRUCTURE DES VILLAS</t>
  </si>
  <si>
    <t>4.3.1</t>
  </si>
  <si>
    <t>INFRA - VOILES D'INFRASTRUCTURE EN BETON ARME</t>
  </si>
  <si>
    <t xml:space="preserve">4.3.1.1 </t>
  </si>
  <si>
    <t>Coffrage à parement ordinaire</t>
  </si>
  <si>
    <t>000-H579</t>
  </si>
  <si>
    <t xml:space="preserve">4.3.1.2 </t>
  </si>
  <si>
    <t>000-H580</t>
  </si>
  <si>
    <t xml:space="preserve">4.3.1.3 </t>
  </si>
  <si>
    <t>000-H581</t>
  </si>
  <si>
    <t xml:space="preserve">4.3.1.4 </t>
  </si>
  <si>
    <t>000-H582</t>
  </si>
  <si>
    <t>4.3.2</t>
  </si>
  <si>
    <t xml:space="preserve">4.3.2.1 </t>
  </si>
  <si>
    <t>000-H585</t>
  </si>
  <si>
    <t xml:space="preserve">4.3.2.2 </t>
  </si>
  <si>
    <t>000-H587</t>
  </si>
  <si>
    <t xml:space="preserve">4.3.2.3 </t>
  </si>
  <si>
    <t>000-H588</t>
  </si>
  <si>
    <t xml:space="preserve">4.3.2.4 </t>
  </si>
  <si>
    <t>000-H589</t>
  </si>
  <si>
    <t>4.3.3</t>
  </si>
  <si>
    <t xml:space="preserve">4.3.3.1 </t>
  </si>
  <si>
    <t>000-H590</t>
  </si>
  <si>
    <t xml:space="preserve">4.3.3.2 </t>
  </si>
  <si>
    <t>000-H591</t>
  </si>
  <si>
    <t xml:space="preserve">4.3.3.3 </t>
  </si>
  <si>
    <t>000-H592</t>
  </si>
  <si>
    <t>4.3.4</t>
  </si>
  <si>
    <t xml:space="preserve">4.3.4.1 </t>
  </si>
  <si>
    <t>000-H594</t>
  </si>
  <si>
    <t xml:space="preserve">4.3.4.2 </t>
  </si>
  <si>
    <t>000-H595</t>
  </si>
  <si>
    <t xml:space="preserve">4.3.4.3 </t>
  </si>
  <si>
    <t>000-H596</t>
  </si>
  <si>
    <t>4.3.5</t>
  </si>
  <si>
    <t>INFRA - PLANCHER POUTRELLES / HOURDIS</t>
  </si>
  <si>
    <t xml:space="preserve">4.3.5.1 </t>
  </si>
  <si>
    <t>Plancher poutrelles et hourdis épaisseur : 16+4cm avec rupteurs intégrés</t>
  </si>
  <si>
    <t>000-I330</t>
  </si>
  <si>
    <t>4.3.6</t>
  </si>
  <si>
    <t>4.3.6.1</t>
  </si>
  <si>
    <t xml:space="preserve">4.3.6.1.1 </t>
  </si>
  <si>
    <t>000-H614</t>
  </si>
  <si>
    <t>4.3.6.2</t>
  </si>
  <si>
    <t xml:space="preserve">4.3.6.2.1 </t>
  </si>
  <si>
    <t>000-H616</t>
  </si>
  <si>
    <t xml:space="preserve">4.3.6.2.2 </t>
  </si>
  <si>
    <t>000-H618</t>
  </si>
  <si>
    <t>Total TRAVAUX D'INFRASTRUCTURE DES VILLAS</t>
  </si>
  <si>
    <t>4.4</t>
  </si>
  <si>
    <t>TRAVAUX DE SUPERSTRUCTURE DES VILLAS</t>
  </si>
  <si>
    <t>4.4.1</t>
  </si>
  <si>
    <t>SUPER - MURS PERIPHERIQUES EN AGGLO</t>
  </si>
  <si>
    <t xml:space="preserve">4.4.1.1 </t>
  </si>
  <si>
    <t>Relevé BA en pied de façade agglos - Dim. 20x15 à 40 cm ht - Terrasse et balcon</t>
  </si>
  <si>
    <t>LA1-D386</t>
  </si>
  <si>
    <t xml:space="preserve">4.4.1.2 </t>
  </si>
  <si>
    <t>Murs en agglo creux épaisseur 20 cm</t>
  </si>
  <si>
    <t>LR1-A122</t>
  </si>
  <si>
    <t xml:space="preserve">4.4.1.3 </t>
  </si>
  <si>
    <t>Planelle d'about de dalle non isolée</t>
  </si>
  <si>
    <t>000-G106</t>
  </si>
  <si>
    <t xml:space="preserve">4.4.1.4 </t>
  </si>
  <si>
    <t>LR1-A128</t>
  </si>
  <si>
    <t xml:space="preserve">4.4.1.5 </t>
  </si>
  <si>
    <t>LR1-A129</t>
  </si>
  <si>
    <t xml:space="preserve">4.4.1.6 </t>
  </si>
  <si>
    <t>LR1-A130</t>
  </si>
  <si>
    <t>4.4.2</t>
  </si>
  <si>
    <t xml:space="preserve">4.4.2.1 </t>
  </si>
  <si>
    <t>000-H634</t>
  </si>
  <si>
    <t xml:space="preserve">4.4.2.2 </t>
  </si>
  <si>
    <t>000-H631</t>
  </si>
  <si>
    <t xml:space="preserve">4.4.2.3 </t>
  </si>
  <si>
    <t>000-I106</t>
  </si>
  <si>
    <t xml:space="preserve">4.4.2.4 </t>
  </si>
  <si>
    <t>000-H636</t>
  </si>
  <si>
    <t xml:space="preserve">4.4.2.5 </t>
  </si>
  <si>
    <t>000-H637</t>
  </si>
  <si>
    <t xml:space="preserve">4.4.2.6 </t>
  </si>
  <si>
    <t>000-H638</t>
  </si>
  <si>
    <t>4.4.3</t>
  </si>
  <si>
    <t>SUPER - MURS DE REFEND EN AGGLO</t>
  </si>
  <si>
    <t xml:space="preserve">4.4.3.1 </t>
  </si>
  <si>
    <t>000-H647</t>
  </si>
  <si>
    <t>4.4.4</t>
  </si>
  <si>
    <t xml:space="preserve">4.4.4.1 </t>
  </si>
  <si>
    <t>000-H651</t>
  </si>
  <si>
    <t xml:space="preserve">4.4.4.2 </t>
  </si>
  <si>
    <t>Coffrage à parement soigné Ø20cm</t>
  </si>
  <si>
    <t>000-I351</t>
  </si>
  <si>
    <t xml:space="preserve">4.4.4.3 </t>
  </si>
  <si>
    <t>000-H653</t>
  </si>
  <si>
    <t xml:space="preserve">4.4.4.4 </t>
  </si>
  <si>
    <t>000-H654</t>
  </si>
  <si>
    <t>4.4.5</t>
  </si>
  <si>
    <t xml:space="preserve">4.4.5.1 </t>
  </si>
  <si>
    <t>000-H655</t>
  </si>
  <si>
    <t xml:space="preserve">4.4.5.2 </t>
  </si>
  <si>
    <t>000-H656</t>
  </si>
  <si>
    <t xml:space="preserve">4.4.5.3 </t>
  </si>
  <si>
    <t>000-H662</t>
  </si>
  <si>
    <t>4.4.6</t>
  </si>
  <si>
    <t xml:space="preserve">4.4.6.1 </t>
  </si>
  <si>
    <t>000-H664</t>
  </si>
  <si>
    <t xml:space="preserve">4.4.6.2 </t>
  </si>
  <si>
    <t>000-H665</t>
  </si>
  <si>
    <t xml:space="preserve">4.4.6.3 </t>
  </si>
  <si>
    <t>000-H666</t>
  </si>
  <si>
    <t xml:space="preserve">4.4.6.4 </t>
  </si>
  <si>
    <t>000-H667</t>
  </si>
  <si>
    <t>4.4.7</t>
  </si>
  <si>
    <t>SUPER - PLANCHER POUTRELLES / HOURDIS</t>
  </si>
  <si>
    <t xml:space="preserve">4.4.7.1 </t>
  </si>
  <si>
    <t>000-H669</t>
  </si>
  <si>
    <t>4.4.8</t>
  </si>
  <si>
    <t xml:space="preserve">4.4.8.1 </t>
  </si>
  <si>
    <t>000-H670</t>
  </si>
  <si>
    <t>4.4.9</t>
  </si>
  <si>
    <t>4.4.9.1</t>
  </si>
  <si>
    <t xml:space="preserve">4.4.9.1.1 </t>
  </si>
  <si>
    <t>Agglos pleins : Epaisseur 10 cm</t>
  </si>
  <si>
    <t>000-B138</t>
  </si>
  <si>
    <t>4.4.9.2</t>
  </si>
  <si>
    <t xml:space="preserve">4.4.9.2.1 </t>
  </si>
  <si>
    <t>000-H680</t>
  </si>
  <si>
    <t xml:space="preserve">4.4.9.2.2 </t>
  </si>
  <si>
    <t>000-H681</t>
  </si>
  <si>
    <t>4.4.9.3</t>
  </si>
  <si>
    <t xml:space="preserve">4.4.9.3.1 </t>
  </si>
  <si>
    <t>000-H717</t>
  </si>
  <si>
    <t xml:space="preserve">4.4.9.3.2 </t>
  </si>
  <si>
    <t>000-I165</t>
  </si>
  <si>
    <t>4.4.9.4</t>
  </si>
  <si>
    <t xml:space="preserve">4.4.9.4.1 </t>
  </si>
  <si>
    <t>000-H729</t>
  </si>
  <si>
    <t>4.4.9.5</t>
  </si>
  <si>
    <t xml:space="preserve">4.4.9.5.1 </t>
  </si>
  <si>
    <t>Plots béton Longeur 2m40 de 10cm minimum de haut pour les PAC</t>
  </si>
  <si>
    <t>000-I394</t>
  </si>
  <si>
    <t xml:space="preserve">4.4.9.5.2 </t>
  </si>
  <si>
    <t>Socle béton ou support isophonique pour module intérieur PAC 0.60 x 0.60 x 0.10 m ht</t>
  </si>
  <si>
    <t>000-H735</t>
  </si>
  <si>
    <t>4.4.9.6</t>
  </si>
  <si>
    <t xml:space="preserve">4.4.9.6.1 </t>
  </si>
  <si>
    <t>000-H736</t>
  </si>
  <si>
    <t>4.4.9.7</t>
  </si>
  <si>
    <t xml:space="preserve">4.4.9.7.1 </t>
  </si>
  <si>
    <t>Acrotère épaisseur 20 x hauteur 23 cm</t>
  </si>
  <si>
    <t>000-I395</t>
  </si>
  <si>
    <t xml:space="preserve">4.4.9.7.2 </t>
  </si>
  <si>
    <t>Acrotère épaisseur 20 x hauteur 36 cm</t>
  </si>
  <si>
    <t>000-H738</t>
  </si>
  <si>
    <t>Total TRAVAUX DE SUPERSTRUCTURE DES VILLAS</t>
  </si>
  <si>
    <t>4.5</t>
  </si>
  <si>
    <t>ISOLATION THERMIQUE DES TOITURES DES VILLAS</t>
  </si>
  <si>
    <t xml:space="preserve">4.5.1 </t>
  </si>
  <si>
    <t>000-I060</t>
  </si>
  <si>
    <t>Total ISOLATION THERMIQUE DES TOITURES DES VILLAS</t>
  </si>
  <si>
    <t>4.6</t>
  </si>
  <si>
    <t>OUVRAGES D'AMENAGEMENTS EXTERIEURS DES VILLAS</t>
  </si>
  <si>
    <t>4.6.1</t>
  </si>
  <si>
    <t xml:space="preserve">4.6.1.1 </t>
  </si>
  <si>
    <t>Muret béton - hauteur vue 2.67 m x ép. 0.18 ml</t>
  </si>
  <si>
    <t>000-I397</t>
  </si>
  <si>
    <t>4.6.2</t>
  </si>
  <si>
    <t xml:space="preserve">4.6.2.1 </t>
  </si>
  <si>
    <t>Mur de soutènement béton escaliers - hauteur 0.83 m x ép. 0.20 ml - formant relevé</t>
  </si>
  <si>
    <t>000-I363</t>
  </si>
  <si>
    <t xml:space="preserve">4.6.2.2 </t>
  </si>
  <si>
    <t>Mur de soutènement béton escaliers - hauteur variable 0.83 à 3.32 m x ép. 0.20 ml - formant relevé rampant</t>
  </si>
  <si>
    <t>000-I364</t>
  </si>
  <si>
    <t xml:space="preserve">4.6.2.3 </t>
  </si>
  <si>
    <t>Mur de soutènement béton escaliers - hauteur 3.32 m x ép. 0.20 ml - formant relevé</t>
  </si>
  <si>
    <t>000-I365</t>
  </si>
  <si>
    <t xml:space="preserve">4.6.2.4 </t>
  </si>
  <si>
    <t>Mur de soutènement béton escaliers - hauteur 2.98 m x ép. 0.20 ml - formant relevé</t>
  </si>
  <si>
    <t>000-I366</t>
  </si>
  <si>
    <t xml:space="preserve">4.6.2.5 </t>
  </si>
  <si>
    <t>Mur de soutènement béton - hauteur 1.68 m x ép. 0.20 ml - formant relevé</t>
  </si>
  <si>
    <t>000-H750</t>
  </si>
  <si>
    <t xml:space="preserve">4.6.2.6 </t>
  </si>
  <si>
    <t>Mur de soutènement béton escaliers - hauteur variable 2.68 à 3.12 m x ép. 0.20 ml - formant relevé rampant</t>
  </si>
  <si>
    <t>000-I367</t>
  </si>
  <si>
    <t xml:space="preserve">4.6.2.7 </t>
  </si>
  <si>
    <t>Mur de soutènement béton - hauteur 3.12 m x ép. 0.20 ml - formant relevé</t>
  </si>
  <si>
    <t>000-I368</t>
  </si>
  <si>
    <t>4.6.3</t>
  </si>
  <si>
    <t xml:space="preserve">4.6.3.1 </t>
  </si>
  <si>
    <t>Escalier tout compris ht à franchir 2.48 m</t>
  </si>
  <si>
    <t>000-H751</t>
  </si>
  <si>
    <t>4.6.4</t>
  </si>
  <si>
    <t>LOGETTES</t>
  </si>
  <si>
    <t xml:space="preserve">4.6.4.1 </t>
  </si>
  <si>
    <t>Logette, dimensions 0.50 x 0.45 x 1.25m ht</t>
  </si>
  <si>
    <t>000-H753</t>
  </si>
  <si>
    <t>Total OUVRAGES D'AMENAGEMENTS EXTERIEURS DES VILLAS</t>
  </si>
  <si>
    <t>Montant HT du Lot N°32 GROS-OEUVRE</t>
  </si>
  <si>
    <t>TOTHT</t>
  </si>
  <si>
    <t>TVA</t>
  </si>
  <si>
    <t>Montant TTC</t>
  </si>
  <si>
    <t>TOTTTC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</si>
</sst>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-#,##0.00;"/>
    <numFmt numFmtId="165" formatCode="#\ ##0;\-#,##0;"/>
    <numFmt numFmtId="166" formatCode="#,##0.0;\-#,##0.0;"/>
    <numFmt numFmtId="167" formatCode="#,##0.000;\-#,##0.000;"/>
    <numFmt numFmtId="168" formatCode="0.000"/>
  </numFmts>
  <fonts count="29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1"/>
    </font>
    <font>
      <b/>
      <sz val="12"/>
      <color rgb="FFFF003F"/>
      <name val="Arial"/>
      <family val="1"/>
    </font>
    <font>
      <i/>
      <sz val="10"/>
      <color rgb="FF5B5B5B"/>
      <name val="Arial"/>
      <family val="1"/>
    </font>
    <font>
      <b/>
      <sz val="12"/>
      <color rgb="FFFF0000"/>
      <name val="Arial"/>
      <family val="1"/>
    </font>
    <font>
      <sz val="11"/>
      <color rgb="FFFF0000"/>
      <name val="Arial"/>
      <family val="1"/>
    </font>
    <font>
      <sz val="10"/>
      <color rgb="FF000000"/>
      <name val="Arial"/>
      <family val="1"/>
    </font>
    <font>
      <sz val="10"/>
      <color rgb="FF000000"/>
      <name val="Arial Rounded MT Bold"/>
      <family val="1"/>
    </font>
    <font>
      <sz val="11"/>
      <color rgb="FF5B5B5B"/>
      <name val="Arial"/>
      <family val="1"/>
    </font>
    <font>
      <sz val="11"/>
      <color rgb="FF000000"/>
      <name val="Arial"/>
      <family val="1"/>
    </font>
    <font>
      <sz val="10"/>
      <color rgb="FF5B5B5B"/>
      <name val="Arial"/>
      <family val="1"/>
    </font>
    <font>
      <b/>
      <i/>
      <sz val="10"/>
      <color rgb="FFAD84C6"/>
      <name val="Arial"/>
      <family val="1"/>
    </font>
    <font>
      <i/>
      <sz val="10"/>
      <color rgb="FFFF0000"/>
      <name val="Arial"/>
      <family val="1"/>
    </font>
    <font>
      <sz val="9"/>
      <color rgb="FFFF0000"/>
      <name val="Arial Narrow"/>
      <family val="1"/>
    </font>
    <font>
      <b/>
      <i/>
      <sz val="10"/>
      <color rgb="FF606060"/>
      <name val="Arial"/>
      <family val="1"/>
    </font>
    <font>
      <b/>
      <i/>
      <sz val="10"/>
      <color rgb="FF5B5B5B"/>
      <name val="Arial"/>
      <family val="1"/>
    </font>
    <font>
      <b/>
      <sz val="9"/>
      <color rgb="FF000000"/>
      <name val="Arial"/>
      <family val="1"/>
    </font>
    <font>
      <sz val="10"/>
      <color rgb="FFFF0000"/>
      <name val="Arial"/>
      <family val="1"/>
    </font>
    <font>
      <i/>
      <sz val="8"/>
      <color rgb="FFFF0000"/>
      <name val="Arial"/>
      <family val="1"/>
    </font>
    <font>
      <sz val="8"/>
      <color rgb="FF000000"/>
      <name val="Arial"/>
      <family val="1"/>
    </font>
    <font>
      <sz val="9"/>
      <color rgb="FF000000"/>
      <name val="Arial Narrow"/>
      <family val="1"/>
    </font>
    <font>
      <sz val="8"/>
      <color rgb="FF000000"/>
      <name val="Arial Narrow"/>
      <family val="1"/>
    </font>
    <font>
      <sz val="8"/>
      <color rgb="FF5B5B5B"/>
      <name val="Arial Narrow"/>
      <family val="1"/>
    </font>
    <font>
      <sz val="7"/>
      <color rgb="FF000000"/>
      <name val="Arial"/>
      <family val="1"/>
    </font>
    <font>
      <b/>
      <sz val="11"/>
      <color theme="1"/>
      <name val="Calibri"/>
      <family val="1"/>
    </font>
    <font>
      <sz val="11"/>
      <color theme="0" tint="-0.14999847407452621"/>
      <name val="Calibri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7E3DD"/>
        <bgColor indexed="64"/>
      </patternFill>
    </fill>
    <fill>
      <patternFill patternType="solid">
        <fgColor rgb="FFAD84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 applyFill="0"/>
    <xf numFmtId="0" fontId="1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3" fillId="0" borderId="0" applyFill="0">
      <alignment horizontal="left" vertical="top" wrapText="1"/>
    </xf>
    <xf numFmtId="0" fontId="4" fillId="2" borderId="0">
      <alignment horizontal="left" vertical="top" wrapText="1"/>
    </xf>
    <xf numFmtId="0" fontId="5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7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8" fillId="3" borderId="0">
      <alignment horizontal="left" vertical="top" wrapText="1"/>
    </xf>
    <xf numFmtId="0" fontId="9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10" fillId="0" borderId="0" applyFill="0">
      <alignment horizontal="left" vertical="top" wrapText="1" indent="2"/>
    </xf>
    <xf numFmtId="0" fontId="11" fillId="0" borderId="0" applyFill="0">
      <alignment horizontal="left" vertical="top" wrapText="1"/>
    </xf>
    <xf numFmtId="0" fontId="12" fillId="0" borderId="0" applyFill="0">
      <alignment horizontal="left" vertical="top" wrapText="1"/>
    </xf>
    <xf numFmtId="0" fontId="13" fillId="0" borderId="0" applyFill="0">
      <alignment horizontal="left" vertical="top" wrapText="1"/>
    </xf>
    <xf numFmtId="0" fontId="11" fillId="0" borderId="0" applyFill="0">
      <alignment horizontal="right" vertical="top" wrapText="1"/>
    </xf>
    <xf numFmtId="0" fontId="14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15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10" fillId="0" borderId="0" applyFill="0">
      <alignment horizontal="left" vertical="top" wrapText="1"/>
    </xf>
    <xf numFmtId="0" fontId="1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17" fillId="0" borderId="0" applyFill="0">
      <alignment horizontal="left" vertical="top" wrapText="1"/>
    </xf>
    <xf numFmtId="0" fontId="18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19" fillId="0" borderId="0" applyFill="0">
      <alignment horizontal="left" vertical="top" wrapText="1"/>
    </xf>
    <xf numFmtId="0" fontId="20" fillId="0" borderId="0" applyFill="0">
      <alignment horizontal="left" vertical="top" wrapText="1" indent="1"/>
    </xf>
    <xf numFmtId="0" fontId="21" fillId="0" borderId="0" applyFill="0">
      <alignment horizontal="left" vertical="top" wrapText="1" indent="1"/>
    </xf>
    <xf numFmtId="0" fontId="22" fillId="0" borderId="0" applyFill="0">
      <alignment horizontal="left" vertical="top" wrapText="1" indent="1"/>
    </xf>
    <xf numFmtId="0" fontId="23" fillId="0" borderId="0" applyFill="0">
      <alignment horizontal="left" vertical="top" wrapText="1"/>
    </xf>
  </cellStyleXfs>
  <cellXfs count="63">
    <xf numFmtId="0" fontId="0" fillId="0" borderId="0" xfId="0"/>
    <xf numFmtId="0" fontId="0" fillId="0" borderId="16" xfId="0" applyBorder="1" applyAlignment="1">
      <alignment horizontal="left" vertical="top" wrapText="1"/>
    </xf>
    <xf numFmtId="0" fontId="0" fillId="0" borderId="14" xfId="0" applyBorder="1" applyAlignment="1">
      <alignment horizontal="center" vertical="top" wrapText="1"/>
    </xf>
    <xf numFmtId="0" fontId="24" fillId="0" borderId="15" xfId="0" applyFont="1" applyBorder="1" applyAlignment="1">
      <alignment horizontal="left" vertical="top" wrapText="1"/>
    </xf>
    <xf numFmtId="0" fontId="24" fillId="0" borderId="15" xfId="0" applyFont="1" applyBorder="1" applyAlignment="1">
      <alignment horizontal="center" vertical="top" wrapText="1"/>
    </xf>
    <xf numFmtId="0" fontId="24" fillId="0" borderId="15" xfId="0" applyFont="1" applyBorder="1" applyAlignment="1">
      <alignment horizontal="right" vertical="top" wrapText="1"/>
    </xf>
    <xf numFmtId="0" fontId="0" fillId="0" borderId="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1" fillId="0" borderId="7" xfId="14" applyBorder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10" fillId="0" borderId="4" xfId="26" applyBorder="1">
      <alignment horizontal="left" vertical="top" wrapText="1"/>
    </xf>
    <xf numFmtId="0" fontId="10" fillId="0" borderId="6" xfId="26" applyBorder="1">
      <alignment horizontal="left" vertical="top" wrapText="1"/>
    </xf>
    <xf numFmtId="0" fontId="0" fillId="0" borderId="3" xfId="0" applyBorder="1" applyAlignment="1" applyProtection="1">
      <alignment horizontal="left" vertical="top"/>
      <protection locked="0"/>
    </xf>
    <xf numFmtId="165" fontId="0" fillId="0" borderId="3" xfId="0" applyNumberFormat="1" applyBorder="1" applyAlignment="1" applyProtection="1">
      <alignment horizontal="center" vertical="top" wrapText="1"/>
      <protection locked="0"/>
    </xf>
    <xf numFmtId="164" fontId="0" fillId="0" borderId="3" xfId="0" applyNumberFormat="1" applyBorder="1" applyAlignment="1" applyProtection="1">
      <alignment horizontal="center" vertical="top" wrapText="1"/>
      <protection locked="0"/>
    </xf>
    <xf numFmtId="164" fontId="0" fillId="0" borderId="12" xfId="0" applyNumberFormat="1" applyBorder="1" applyAlignment="1" applyProtection="1">
      <alignment horizontal="right" vertical="top" wrapText="1"/>
      <protection locked="0"/>
    </xf>
    <xf numFmtId="0" fontId="10" fillId="0" borderId="11" xfId="26" applyBorder="1">
      <alignment horizontal="left" vertical="top" wrapText="1"/>
    </xf>
    <xf numFmtId="0" fontId="10" fillId="0" borderId="10" xfId="26" applyBorder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6" fontId="0" fillId="0" borderId="3" xfId="0" applyNumberFormat="1" applyBorder="1" applyAlignment="1" applyProtection="1">
      <alignment horizontal="center" vertical="top" wrapText="1"/>
      <protection locked="0"/>
    </xf>
    <xf numFmtId="0" fontId="14" fillId="0" borderId="4" xfId="18" applyBorder="1">
      <alignment horizontal="left" vertical="top" wrapText="1"/>
    </xf>
    <xf numFmtId="0" fontId="14" fillId="0" borderId="6" xfId="18" applyBorder="1">
      <alignment horizontal="left" vertical="top" wrapText="1"/>
    </xf>
    <xf numFmtId="167" fontId="0" fillId="0" borderId="3" xfId="0" applyNumberFormat="1" applyBorder="1" applyAlignment="1" applyProtection="1">
      <alignment horizontal="center" vertical="top" wrapText="1"/>
      <protection locked="0"/>
    </xf>
    <xf numFmtId="0" fontId="14" fillId="0" borderId="11" xfId="18" applyBorder="1">
      <alignment horizontal="left" vertical="top" wrapText="1"/>
    </xf>
    <xf numFmtId="0" fontId="14" fillId="0" borderId="10" xfId="18" applyBorder="1">
      <alignment horizontal="left" vertical="top" wrapText="1"/>
    </xf>
    <xf numFmtId="0" fontId="15" fillId="0" borderId="11" xfId="22" applyBorder="1">
      <alignment horizontal="left" vertical="top" wrapText="1"/>
    </xf>
    <xf numFmtId="0" fontId="15" fillId="0" borderId="10" xfId="22" applyBorder="1">
      <alignment horizontal="left" vertical="top" wrapText="1"/>
    </xf>
    <xf numFmtId="0" fontId="11" fillId="5" borderId="7" xfId="17" applyFill="1" applyBorder="1">
      <alignment horizontal="right" vertical="top" wrapText="1"/>
    </xf>
    <xf numFmtId="0" fontId="0" fillId="5" borderId="3" xfId="0" applyFill="1" applyBorder="1" applyAlignment="1">
      <alignment horizontal="left" vertical="top" wrapText="1"/>
    </xf>
    <xf numFmtId="164" fontId="0" fillId="5" borderId="8" xfId="0" applyNumberFormat="1" applyFill="1" applyBorder="1" applyAlignment="1">
      <alignment horizontal="right" vertical="top" wrapText="1"/>
    </xf>
    <xf numFmtId="0" fontId="0" fillId="0" borderId="11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4" borderId="18" xfId="0" applyFill="1" applyBorder="1" applyAlignment="1">
      <alignment horizontal="left" vertical="top" wrapText="1"/>
    </xf>
    <xf numFmtId="0" fontId="0" fillId="4" borderId="19" xfId="0" applyFill="1" applyBorder="1" applyAlignment="1">
      <alignment horizontal="left" vertical="top" wrapText="1"/>
    </xf>
    <xf numFmtId="0" fontId="0" fillId="4" borderId="20" xfId="0" applyFill="1" applyBorder="1" applyAlignment="1">
      <alignment horizontal="left" vertical="top" wrapText="1"/>
    </xf>
    <xf numFmtId="0" fontId="0" fillId="4" borderId="21" xfId="0" applyFill="1" applyBorder="1"/>
    <xf numFmtId="0" fontId="26" fillId="4" borderId="0" xfId="0" applyFont="1" applyFill="1" applyAlignment="1">
      <alignment horizontal="left" vertical="top" wrapText="1"/>
    </xf>
    <xf numFmtId="0" fontId="27" fillId="4" borderId="0" xfId="0" applyFont="1" applyFill="1"/>
    <xf numFmtId="164" fontId="26" fillId="4" borderId="22" xfId="0" applyNumberFormat="1" applyFont="1" applyFill="1" applyBorder="1" applyAlignment="1">
      <alignment horizontal="right" vertical="top" wrapText="1"/>
    </xf>
    <xf numFmtId="165" fontId="25" fillId="4" borderId="21" xfId="0" applyNumberFormat="1" applyFont="1" applyFill="1" applyBorder="1" applyAlignment="1">
      <alignment horizontal="left" vertical="top" wrapText="1"/>
    </xf>
    <xf numFmtId="0" fontId="28" fillId="4" borderId="0" xfId="0" applyFont="1" applyFill="1" applyAlignment="1">
      <alignment horizontal="left" vertical="top" wrapText="1"/>
    </xf>
    <xf numFmtId="164" fontId="28" fillId="4" borderId="22" xfId="0" applyNumberFormat="1" applyFont="1" applyFill="1" applyBorder="1" applyAlignment="1">
      <alignment horizontal="right" vertical="top" wrapText="1"/>
    </xf>
    <xf numFmtId="0" fontId="0" fillId="4" borderId="23" xfId="0" applyFill="1" applyBorder="1"/>
    <xf numFmtId="0" fontId="0" fillId="4" borderId="24" xfId="0" applyFill="1" applyBorder="1"/>
    <xf numFmtId="164" fontId="24" fillId="4" borderId="25" xfId="0" applyNumberFormat="1" applyFont="1" applyFill="1" applyBorder="1" applyAlignment="1">
      <alignment horizontal="right" vertical="top" wrapText="1"/>
    </xf>
    <xf numFmtId="0" fontId="0" fillId="6" borderId="7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11" fillId="0" borderId="16" xfId="14" applyBorder="1">
      <alignment horizontal="left" vertical="top" wrapText="1"/>
    </xf>
    <xf numFmtId="0" fontId="11" fillId="5" borderId="16" xfId="17" applyFill="1" applyBorder="1" applyAlignment="1">
      <alignment horizontal="left" vertical="top" wrapText="1"/>
    </xf>
    <xf numFmtId="0" fontId="0" fillId="6" borderId="16" xfId="0" applyFill="1" applyBorder="1" applyAlignment="1">
      <alignment horizontal="left" vertical="top" wrapText="1"/>
    </xf>
    <xf numFmtId="2" fontId="0" fillId="0" borderId="3" xfId="0" applyNumberFormat="1" applyBorder="1" applyAlignment="1" applyProtection="1">
      <alignment horizontal="center" vertical="top" wrapText="1"/>
      <protection locked="0"/>
    </xf>
    <xf numFmtId="168" fontId="0" fillId="0" borderId="3" xfId="0" applyNumberFormat="1" applyBorder="1" applyAlignment="1" applyProtection="1">
      <alignment horizontal="center" vertical="top" wrapText="1"/>
      <protection locked="0"/>
    </xf>
    <xf numFmtId="2" fontId="0" fillId="0" borderId="3" xfId="0" applyNumberForma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5">
    <cellStyle name="ArtDescriptif" xfId="28" xr:uid="{00000000-0005-0000-0000-00001C000000}"/>
    <cellStyle name="ArtLibelleCond" xfId="27" xr:uid="{00000000-0005-0000-0000-00001B000000}"/>
    <cellStyle name="ArtNote1" xfId="29" xr:uid="{00000000-0005-0000-0000-00001D000000}"/>
    <cellStyle name="ArtNote2" xfId="30" xr:uid="{00000000-0005-0000-0000-00001E000000}"/>
    <cellStyle name="ArtNote3" xfId="31" xr:uid="{00000000-0005-0000-0000-00001F000000}"/>
    <cellStyle name="ArtNote4" xfId="32" xr:uid="{00000000-0005-0000-0000-000020000000}"/>
    <cellStyle name="ArtNote5" xfId="33" xr:uid="{00000000-0005-0000-0000-000021000000}"/>
    <cellStyle name="ArtQuantite" xfId="34" xr:uid="{00000000-0005-0000-0000-000022000000}"/>
    <cellStyle name="ArtTitre" xfId="26" xr:uid="{00000000-0005-0000-0000-00001A000000}"/>
    <cellStyle name="ChapDescriptif0" xfId="7" xr:uid="{00000000-0005-0000-0000-000007000000}"/>
    <cellStyle name="ChapDescriptif1" xfId="11" xr:uid="{00000000-0005-0000-0000-00000B000000}"/>
    <cellStyle name="ChapDescriptif2" xfId="15" xr:uid="{00000000-0005-0000-0000-00000F000000}"/>
    <cellStyle name="ChapDescriptif3" xfId="19" xr:uid="{00000000-0005-0000-0000-000013000000}"/>
    <cellStyle name="ChapDescriptif4" xfId="23" xr:uid="{00000000-0005-0000-0000-000017000000}"/>
    <cellStyle name="ChapNote0" xfId="8" xr:uid="{00000000-0005-0000-0000-000008000000}"/>
    <cellStyle name="ChapNote1" xfId="12" xr:uid="{00000000-0005-0000-0000-00000C000000}"/>
    <cellStyle name="ChapNote2" xfId="16" xr:uid="{00000000-0005-0000-0000-000010000000}"/>
    <cellStyle name="ChapNote3" xfId="20" xr:uid="{00000000-0005-0000-0000-000014000000}"/>
    <cellStyle name="ChapNote4" xfId="24" xr:uid="{00000000-0005-0000-0000-000018000000}"/>
    <cellStyle name="ChapRecap0" xfId="9" xr:uid="{00000000-0005-0000-0000-000009000000}"/>
    <cellStyle name="ChapRecap1" xfId="13" xr:uid="{00000000-0005-0000-0000-00000D000000}"/>
    <cellStyle name="ChapRecap2" xfId="17" xr:uid="{00000000-0005-0000-0000-000011000000}"/>
    <cellStyle name="ChapRecap3" xfId="21" xr:uid="{00000000-0005-0000-0000-000015000000}"/>
    <cellStyle name="ChapRecap4" xfId="25" xr:uid="{00000000-0005-0000-0000-000019000000}"/>
    <cellStyle name="ChapTitre0" xfId="6" xr:uid="{00000000-0005-0000-0000-000006000000}"/>
    <cellStyle name="ChapTitre1" xfId="10" xr:uid="{00000000-0005-0000-0000-00000A000000}"/>
    <cellStyle name="ChapTitre2" xfId="14" xr:uid="{00000000-0005-0000-0000-00000E000000}"/>
    <cellStyle name="ChapTitre3" xfId="18" xr:uid="{00000000-0005-0000-0000-000012000000}"/>
    <cellStyle name="ChapTitre4" xfId="22" xr:uid="{00000000-0005-0000-0000-000016000000}"/>
    <cellStyle name="DQLocQuantNonLoc" xfId="42" xr:uid="{00000000-0005-0000-0000-00002A000000}"/>
    <cellStyle name="DQLocRefClass" xfId="41" xr:uid="{00000000-0005-0000-0000-000029000000}"/>
    <cellStyle name="DQLocStruct" xfId="43" xr:uid="{00000000-0005-0000-0000-00002B000000}"/>
    <cellStyle name="DQMinutes" xfId="44" xr:uid="{00000000-0005-0000-0000-00002C000000}"/>
    <cellStyle name="LocGen" xfId="36" xr:uid="{00000000-0005-0000-0000-000024000000}"/>
    <cellStyle name="LocLit" xfId="38" xr:uid="{00000000-0005-0000-0000-000026000000}"/>
    <cellStyle name="LocRefClass" xfId="37" xr:uid="{00000000-0005-0000-0000-000025000000}"/>
    <cellStyle name="LocSignetRep" xfId="40" xr:uid="{00000000-0005-0000-0000-000028000000}"/>
    <cellStyle name="LocStrRecap0" xfId="3" xr:uid="{00000000-0005-0000-0000-000003000000}"/>
    <cellStyle name="LocStrRecap1" xfId="5" xr:uid="{00000000-0005-0000-0000-000005000000}"/>
    <cellStyle name="LocStrTexte0" xfId="2" xr:uid="{00000000-0005-0000-0000-000002000000}"/>
    <cellStyle name="LocStrTexte1" xfId="4" xr:uid="{00000000-0005-0000-0000-000004000000}"/>
    <cellStyle name="LocStruct" xfId="39" xr:uid="{00000000-0005-0000-0000-000027000000}"/>
    <cellStyle name="LocTitre" xfId="35" xr:uid="{00000000-0005-0000-0000-000023000000}"/>
    <cellStyle name="Normal" xfId="0" builtinId="0"/>
    <cellStyle name="Numerotatio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4752000</xdr:colOff>
      <xdr:row>41</xdr:row>
      <xdr:rowOff>73030</xdr:rowOff>
    </xdr:from>
    <xdr:to>
      <xdr:col>0</xdr:col>
      <xdr:colOff>6156000</xdr:colOff>
      <xdr:row>46</xdr:row>
      <xdr:rowOff>39470</xdr:rowOff>
    </xdr:to>
    <xdr:sp macro="" textlink="">
      <xdr:nvSpPr>
        <xdr:cNvPr id="3" name="Forme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72035" y="7883530"/>
          <a:ext cx="1386470" cy="918939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endParaRPr sz="8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9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 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>
            <a:solidFill>
              <a:srgbClr val="000000"/>
            </a:solidFill>
            <a:latin typeface="MS Shell Dlg"/>
          </a:endParaRPr>
        </a:p>
      </xdr:txBody>
    </xdr:sp>
    <xdr:clientData/>
  </xdr:twoCellAnchor>
  <xdr:twoCellAnchor editAs="absolute">
    <xdr:from>
      <xdr:col>0</xdr:col>
      <xdr:colOff>4752000</xdr:colOff>
      <xdr:row>35</xdr:row>
      <xdr:rowOff>135874</xdr:rowOff>
    </xdr:from>
    <xdr:to>
      <xdr:col>0</xdr:col>
      <xdr:colOff>6156000</xdr:colOff>
      <xdr:row>41</xdr:row>
      <xdr:rowOff>89152</xdr:rowOff>
    </xdr:to>
    <xdr:sp macro="" textlink="">
      <xdr:nvSpPr>
        <xdr:cNvPr id="4" name="Forme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772035" y="6803374"/>
          <a:ext cx="1386470" cy="1096278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r>
            <a:rPr lang="fr-FR" sz="800" b="1" i="0">
              <a:solidFill>
                <a:srgbClr val="AD84C6"/>
              </a:solidFill>
              <a:latin typeface="MS Shell Dlg"/>
            </a:rPr>
            <a:t>BET Structure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MS Shell Dlg"/>
            </a:rPr>
            <a:t>OSMOZ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662 rue des Jonchères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69730 GENAY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Email : dvouillon@osmoz-ing.fr</a:t>
          </a:r>
        </a:p>
      </xdr:txBody>
    </xdr:sp>
    <xdr:clientData/>
  </xdr:twoCellAnchor>
  <xdr:twoCellAnchor editAs="absolute">
    <xdr:from>
      <xdr:col>0</xdr:col>
      <xdr:colOff>3312000</xdr:colOff>
      <xdr:row>41</xdr:row>
      <xdr:rowOff>73030</xdr:rowOff>
    </xdr:from>
    <xdr:to>
      <xdr:col>0</xdr:col>
      <xdr:colOff>4680000</xdr:colOff>
      <xdr:row>46</xdr:row>
      <xdr:rowOff>23348</xdr:rowOff>
    </xdr:to>
    <xdr:sp macro="" textlink="">
      <xdr:nvSpPr>
        <xdr:cNvPr id="5" name="Forme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321078" y="7883530"/>
          <a:ext cx="1386470" cy="902817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r>
            <a:rPr lang="fr-FR" sz="800" b="1" i="0">
              <a:solidFill>
                <a:srgbClr val="AD84C6"/>
              </a:solidFill>
              <a:latin typeface="MS Shell Dlg"/>
            </a:rPr>
            <a:t>BET VRD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MS Shell Dlg"/>
            </a:rPr>
            <a:t>PRO ING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Quadrant 5, 630 rue des Valets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01120 MONTLUEL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Tel : 04 78 57 37 21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Email : llombardo@pro-ing.fr</a:t>
          </a:r>
        </a:p>
      </xdr:txBody>
    </xdr:sp>
    <xdr:clientData/>
  </xdr:twoCellAnchor>
  <xdr:twoCellAnchor editAs="absolute">
    <xdr:from>
      <xdr:col>0</xdr:col>
      <xdr:colOff>3312000</xdr:colOff>
      <xdr:row>35</xdr:row>
      <xdr:rowOff>135874</xdr:rowOff>
    </xdr:from>
    <xdr:to>
      <xdr:col>0</xdr:col>
      <xdr:colOff>4680000</xdr:colOff>
      <xdr:row>41</xdr:row>
      <xdr:rowOff>89152</xdr:rowOff>
    </xdr:to>
    <xdr:sp macro="" textlink="">
      <xdr:nvSpPr>
        <xdr:cNvPr id="6" name="Forme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321078" y="6803374"/>
          <a:ext cx="1386470" cy="1096278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r>
            <a:rPr lang="fr-FR" sz="800" b="1" i="0">
              <a:solidFill>
                <a:srgbClr val="AD84C6"/>
              </a:solidFill>
              <a:latin typeface="MS Shell Dlg"/>
            </a:rPr>
            <a:t>BET Fluides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MS Shell Dlg"/>
            </a:rPr>
            <a:t>BASTIDE BONDOUX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4 route des Troques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69630 CHAPONOST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Tel : 04 26 69 16 80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Email : y.mokadem@bastide-bondoux.fr</a:t>
          </a:r>
        </a:p>
      </xdr:txBody>
    </xdr:sp>
    <xdr:clientData/>
  </xdr:twoCellAnchor>
  <xdr:twoCellAnchor editAs="absolute">
    <xdr:from>
      <xdr:col>0</xdr:col>
      <xdr:colOff>1944000</xdr:colOff>
      <xdr:row>35</xdr:row>
      <xdr:rowOff>135874</xdr:rowOff>
    </xdr:from>
    <xdr:to>
      <xdr:col>0</xdr:col>
      <xdr:colOff>3312000</xdr:colOff>
      <xdr:row>41</xdr:row>
      <xdr:rowOff>89152</xdr:rowOff>
    </xdr:to>
    <xdr:sp macro="" textlink="">
      <xdr:nvSpPr>
        <xdr:cNvPr id="7" name="Forme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950730" y="6803374"/>
          <a:ext cx="1386470" cy="1096278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r>
            <a:rPr lang="fr-FR" sz="800" b="1" i="0">
              <a:solidFill>
                <a:srgbClr val="AD84C6"/>
              </a:solidFill>
              <a:latin typeface="MS Shell Dlg"/>
            </a:rPr>
            <a:t>Economiste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MS Shell Dlg"/>
            </a:rPr>
            <a:t>OSMOZ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662 rue des Jonchères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69730 GENAY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Tel : 07 57 44 09 10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Email : egilibert@osmoz-ing.fr</a:t>
          </a:r>
        </a:p>
      </xdr:txBody>
    </xdr:sp>
    <xdr:clientData/>
  </xdr:twoCellAnchor>
  <xdr:twoCellAnchor editAs="absolute">
    <xdr:from>
      <xdr:col>0</xdr:col>
      <xdr:colOff>1944000</xdr:colOff>
      <xdr:row>41</xdr:row>
      <xdr:rowOff>73030</xdr:rowOff>
    </xdr:from>
    <xdr:to>
      <xdr:col>0</xdr:col>
      <xdr:colOff>3312000</xdr:colOff>
      <xdr:row>46</xdr:row>
      <xdr:rowOff>55591</xdr:rowOff>
    </xdr:to>
    <xdr:sp macro="" textlink="">
      <xdr:nvSpPr>
        <xdr:cNvPr id="8" name="Forme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950730" y="7883530"/>
          <a:ext cx="1386470" cy="935061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r>
            <a:rPr lang="fr-FR" sz="800" b="1" i="0">
              <a:solidFill>
                <a:srgbClr val="AD84C6"/>
              </a:solidFill>
              <a:latin typeface="MS Shell Dlg"/>
            </a:rPr>
            <a:t>SPS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MS Shell Dlg"/>
            </a:rPr>
            <a:t>SOCOTEC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11 RUE SAINT MAXIMIN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69003 LYON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Tel : 04 72 11 45 00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Email : theo.giudice@socotec.com</a:t>
          </a:r>
        </a:p>
      </xdr:txBody>
    </xdr:sp>
    <xdr:clientData/>
  </xdr:twoCellAnchor>
  <xdr:twoCellAnchor editAs="absolute">
    <xdr:from>
      <xdr:col>0</xdr:col>
      <xdr:colOff>468000</xdr:colOff>
      <xdr:row>41</xdr:row>
      <xdr:rowOff>73030</xdr:rowOff>
    </xdr:from>
    <xdr:to>
      <xdr:col>0</xdr:col>
      <xdr:colOff>1908000</xdr:colOff>
      <xdr:row>46</xdr:row>
      <xdr:rowOff>71713</xdr:rowOff>
    </xdr:to>
    <xdr:sp macro="" textlink="">
      <xdr:nvSpPr>
        <xdr:cNvPr id="9" name="Forme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99774" y="7883530"/>
          <a:ext cx="1418713" cy="951183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r>
            <a:rPr lang="fr-FR" sz="800" b="1" i="0">
              <a:solidFill>
                <a:srgbClr val="AD84C6"/>
              </a:solidFill>
              <a:latin typeface="MS Shell Dlg"/>
            </a:rPr>
            <a:t>Bureau de contrôle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MS Shell Dlg"/>
            </a:rPr>
            <a:t>SOCOTEC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11, rue Saint Maximin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69416 LYON CEDEX 03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Email : anis.adlani@socotec.com</a:t>
          </a:r>
        </a:p>
      </xdr:txBody>
    </xdr:sp>
    <xdr:clientData/>
  </xdr:twoCellAnchor>
  <xdr:twoCellAnchor editAs="absolute">
    <xdr:from>
      <xdr:col>0</xdr:col>
      <xdr:colOff>468000</xdr:colOff>
      <xdr:row>35</xdr:row>
      <xdr:rowOff>135874</xdr:rowOff>
    </xdr:from>
    <xdr:to>
      <xdr:col>0</xdr:col>
      <xdr:colOff>1908000</xdr:colOff>
      <xdr:row>41</xdr:row>
      <xdr:rowOff>73030</xdr:rowOff>
    </xdr:to>
    <xdr:sp macro="" textlink="">
      <xdr:nvSpPr>
        <xdr:cNvPr id="10" name="Forme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99774" y="6803374"/>
          <a:ext cx="1418713" cy="1080157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32243" tIns="0" rIns="32243" bIns="0" rtlCol="0" anchor="t"/>
        <a:lstStyle/>
        <a:p>
          <a:pPr algn="ctr"/>
          <a:r>
            <a:rPr lang="fr-FR" sz="800" b="1" i="0">
              <a:solidFill>
                <a:srgbClr val="AD84C6"/>
              </a:solidFill>
              <a:latin typeface="MS Shell Dlg"/>
            </a:rPr>
            <a:t>Architecte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MS Shell Dlg"/>
            </a:rPr>
            <a:t>ARCHIGROUP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411 allée des Noisetiers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69773 LIMONEST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Tel : 04 78 66 48 48</a:t>
          </a:r>
        </a:p>
        <a:p>
          <a:pPr algn="ctr"/>
          <a:endParaRPr sz="600" b="1">
            <a:solidFill>
              <a:srgbClr val="000000"/>
            </a:solidFill>
            <a:latin typeface="MS Shell Dlg"/>
          </a:endParaRPr>
        </a:p>
        <a:p>
          <a:pPr algn="ctr"/>
          <a:r>
            <a:rPr lang="fr-FR" sz="600" b="1" i="0">
              <a:solidFill>
                <a:srgbClr val="000000"/>
              </a:solidFill>
              <a:latin typeface="MS Shell Dlg"/>
            </a:rPr>
            <a:t>Email : fabien.charleau@archigroup.fr</a:t>
          </a:r>
        </a:p>
      </xdr:txBody>
    </xdr:sp>
    <xdr:clientData/>
  </xdr:twoCellAnchor>
  <xdr:twoCellAnchor editAs="absolute">
    <xdr:from>
      <xdr:col>0</xdr:col>
      <xdr:colOff>2052000</xdr:colOff>
      <xdr:row>14</xdr:row>
      <xdr:rowOff>55804</xdr:rowOff>
    </xdr:from>
    <xdr:to>
      <xdr:col>0</xdr:col>
      <xdr:colOff>4572000</xdr:colOff>
      <xdr:row>21</xdr:row>
      <xdr:rowOff>128435</xdr:rowOff>
    </xdr:to>
    <xdr:pic>
      <xdr:nvPicPr>
        <xdr:cNvPr id="11" name="Forme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583" y="2722804"/>
          <a:ext cx="70" cy="39"/>
        </a:xfrm>
        <a:prstGeom prst="rect">
          <a:avLst/>
        </a:prstGeom>
      </xdr:spPr>
    </xdr:pic>
    <xdr:clientData/>
  </xdr:twoCellAnchor>
  <xdr:twoCellAnchor editAs="absolute">
    <xdr:from>
      <xdr:col>0</xdr:col>
      <xdr:colOff>180000</xdr:colOff>
      <xdr:row>22</xdr:row>
      <xdr:rowOff>145748</xdr:rowOff>
    </xdr:from>
    <xdr:to>
      <xdr:col>0</xdr:col>
      <xdr:colOff>6408000</xdr:colOff>
      <xdr:row>29</xdr:row>
      <xdr:rowOff>150352</xdr:rowOff>
    </xdr:to>
    <xdr:sp macro="" textlink="">
      <xdr:nvSpPr>
        <xdr:cNvPr id="12" name="Forme1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93461" y="4336748"/>
          <a:ext cx="6239113" cy="1338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4487" tIns="64487" rIns="64487" bIns="64487" rtlCol="0" anchor="t"/>
        <a:lstStyle/>
        <a:p>
          <a:pPr algn="ctr"/>
          <a:r>
            <a:rPr lang="fr-FR" sz="2600" b="1" i="0">
              <a:solidFill>
                <a:srgbClr val="AD84C6"/>
              </a:solidFill>
              <a:latin typeface="Arial"/>
            </a:rPr>
            <a:t>DPGF - Phase DCE</a:t>
          </a:r>
        </a:p>
        <a:p>
          <a:pPr algn="ctr"/>
          <a:endParaRPr sz="2600" b="1">
            <a:solidFill>
              <a:srgbClr val="AD84C6"/>
            </a:solidFill>
            <a:latin typeface="Arial"/>
          </a:endParaRPr>
        </a:p>
        <a:p>
          <a:pPr algn="ctr"/>
          <a:r>
            <a:rPr lang="fr-FR" sz="2200" b="1" i="0">
              <a:solidFill>
                <a:srgbClr val="AD84C6"/>
              </a:solidFill>
              <a:latin typeface="Arial"/>
            </a:rPr>
            <a:t>Lot N°32 GROS-OEUVRE</a:t>
          </a:r>
        </a:p>
      </xdr:txBody>
    </xdr:sp>
    <xdr:clientData/>
  </xdr:twoCellAnchor>
  <xdr:twoCellAnchor editAs="absolute">
    <xdr:from>
      <xdr:col>0</xdr:col>
      <xdr:colOff>216000</xdr:colOff>
      <xdr:row>46</xdr:row>
      <xdr:rowOff>168443</xdr:rowOff>
    </xdr:from>
    <xdr:to>
      <xdr:col>0</xdr:col>
      <xdr:colOff>6408000</xdr:colOff>
      <xdr:row>49</xdr:row>
      <xdr:rowOff>161925</xdr:rowOff>
    </xdr:to>
    <xdr:sp macro="" textlink="">
      <xdr:nvSpPr>
        <xdr:cNvPr id="13" name="Forme1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16000" y="8931443"/>
          <a:ext cx="6192000" cy="5649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4487" tIns="64487" rIns="64487" bIns="64487" rtlCol="0" anchor="t"/>
        <a:lstStyle/>
        <a:p>
          <a:pPr algn="ctr"/>
          <a:r>
            <a:rPr lang="fr-FR" sz="900" b="0" i="0">
              <a:solidFill>
                <a:srgbClr val="000000"/>
              </a:solidFill>
              <a:latin typeface="Helvetica"/>
            </a:rPr>
            <a:t>OSMOZ Actipark de la Richassière Bat F 662 rue des Jonchères 69730 GENAY</a:t>
          </a:r>
        </a:p>
        <a:p>
          <a:pPr algn="ctr"/>
          <a:endParaRPr sz="900">
            <a:solidFill>
              <a:srgbClr val="000000"/>
            </a:solidFill>
            <a:latin typeface="Calibri"/>
          </a:endParaRPr>
        </a:p>
        <a:p>
          <a:pPr algn="ctr"/>
          <a:r>
            <a:rPr lang="fr-FR" sz="900" b="0" i="0">
              <a:solidFill>
                <a:srgbClr val="000000"/>
              </a:solidFill>
              <a:latin typeface="Helvetica"/>
            </a:rPr>
            <a:t>SAS au capital de 94 540€uros / RCS Lyon : 848 288 718</a:t>
          </a:r>
        </a:p>
      </xdr:txBody>
    </xdr:sp>
    <xdr:clientData/>
  </xdr:twoCellAnchor>
  <xdr:twoCellAnchor editAs="absolute">
    <xdr:from>
      <xdr:col>0</xdr:col>
      <xdr:colOff>360000</xdr:colOff>
      <xdr:row>1</xdr:row>
      <xdr:rowOff>115813</xdr:rowOff>
    </xdr:from>
    <xdr:to>
      <xdr:col>0</xdr:col>
      <xdr:colOff>1656000</xdr:colOff>
      <xdr:row>4</xdr:row>
      <xdr:rowOff>11843</xdr:rowOff>
    </xdr:to>
    <xdr:pic>
      <xdr:nvPicPr>
        <xdr:cNvPr id="14" name="Forme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922" y="306313"/>
          <a:ext cx="35" cy="13"/>
        </a:xfrm>
        <a:prstGeom prst="rect">
          <a:avLst/>
        </a:prstGeom>
      </xdr:spPr>
    </xdr:pic>
    <xdr:clientData/>
  </xdr:twoCellAnchor>
  <xdr:twoCellAnchor editAs="absolute">
    <xdr:from>
      <xdr:col>0</xdr:col>
      <xdr:colOff>468000</xdr:colOff>
      <xdr:row>8</xdr:row>
      <xdr:rowOff>88174</xdr:rowOff>
    </xdr:from>
    <xdr:to>
      <xdr:col>0</xdr:col>
      <xdr:colOff>6120000</xdr:colOff>
      <xdr:row>13</xdr:row>
      <xdr:rowOff>123825</xdr:rowOff>
    </xdr:to>
    <xdr:sp macro="" textlink="">
      <xdr:nvSpPr>
        <xdr:cNvPr id="15" name="Forme1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68000" y="1612174"/>
          <a:ext cx="5652000" cy="9881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fr-FR" sz="1600" b="1" i="0">
              <a:solidFill>
                <a:srgbClr val="5F497A"/>
              </a:solidFill>
              <a:latin typeface="MS Shell Dlg"/>
            </a:rPr>
            <a:t>Création d'un ensemble résidentiel et d'une crèche</a:t>
          </a:r>
        </a:p>
        <a:p>
          <a:pPr algn="ctr"/>
          <a:endParaRPr sz="1200" b="1">
            <a:solidFill>
              <a:srgbClr val="5F497A"/>
            </a:solidFill>
            <a:latin typeface="MS Shell Dlg"/>
          </a:endParaRPr>
        </a:p>
        <a:p>
          <a:pPr algn="ctr"/>
          <a:r>
            <a:rPr lang="fr-FR" sz="1200" b="1" i="0">
              <a:solidFill>
                <a:srgbClr val="5F497A"/>
              </a:solidFill>
              <a:latin typeface="MS Shell Dlg"/>
            </a:rPr>
            <a:t>9 Côte Marquis</a:t>
          </a:r>
        </a:p>
        <a:p>
          <a:pPr algn="ctr"/>
          <a:endParaRPr sz="1200" b="1">
            <a:solidFill>
              <a:srgbClr val="5F497A"/>
            </a:solidFill>
            <a:latin typeface="MS Shell Dlg"/>
          </a:endParaRPr>
        </a:p>
        <a:p>
          <a:pPr algn="ctr"/>
          <a:r>
            <a:rPr lang="fr-FR" sz="1200" b="1" i="0">
              <a:solidFill>
                <a:srgbClr val="5F497A"/>
              </a:solidFill>
              <a:latin typeface="MS Shell Dlg"/>
            </a:rPr>
            <a:t>69390 MILLERY</a:t>
          </a:r>
        </a:p>
      </xdr:txBody>
    </xdr:sp>
    <xdr:clientData/>
  </xdr:twoCellAnchor>
  <xdr:twoCellAnchor editAs="absolute">
    <xdr:from>
      <xdr:col>0</xdr:col>
      <xdr:colOff>792000</xdr:colOff>
      <xdr:row>6</xdr:row>
      <xdr:rowOff>1643</xdr:rowOff>
    </xdr:from>
    <xdr:to>
      <xdr:col>0</xdr:col>
      <xdr:colOff>5796000</xdr:colOff>
      <xdr:row>7</xdr:row>
      <xdr:rowOff>117457</xdr:rowOff>
    </xdr:to>
    <xdr:sp macro="" textlink="">
      <xdr:nvSpPr>
        <xdr:cNvPr id="16" name="Forme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22209" y="1144643"/>
          <a:ext cx="4981617" cy="306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fr-FR" sz="1800" b="1" i="0">
              <a:solidFill>
                <a:srgbClr val="5F497A"/>
              </a:solidFill>
              <a:latin typeface="MS Shell Dlg"/>
            </a:rPr>
            <a:t>COTE MARQUIS</a:t>
          </a:r>
        </a:p>
      </xdr:txBody>
    </xdr:sp>
    <xdr:clientData/>
  </xdr:twoCellAnchor>
  <xdr:twoCellAnchor editAs="absolute">
    <xdr:from>
      <xdr:col>0</xdr:col>
      <xdr:colOff>468000</xdr:colOff>
      <xdr:row>31</xdr:row>
      <xdr:rowOff>11178</xdr:rowOff>
    </xdr:from>
    <xdr:to>
      <xdr:col>0</xdr:col>
      <xdr:colOff>6120000</xdr:colOff>
      <xdr:row>31</xdr:row>
      <xdr:rowOff>11178</xdr:rowOff>
    </xdr:to>
    <xdr:cxnSp macro="">
      <xdr:nvCxnSpPr>
        <xdr:cNvPr id="17" name="Forme1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499774" y="5916678"/>
          <a:ext cx="5642609" cy="0"/>
        </a:xfrm>
        <a:prstGeom prst="line">
          <a:avLst/>
        </a:prstGeom>
        <a:ln w="3175">
          <a:solidFill>
            <a:srgbClr val="00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1908000</xdr:colOff>
      <xdr:row>35</xdr:row>
      <xdr:rowOff>71387</xdr:rowOff>
    </xdr:from>
    <xdr:to>
      <xdr:col>0</xdr:col>
      <xdr:colOff>1908000</xdr:colOff>
      <xdr:row>46</xdr:row>
      <xdr:rowOff>55591</xdr:rowOff>
    </xdr:to>
    <xdr:cxnSp macro="">
      <xdr:nvCxnSpPr>
        <xdr:cNvPr id="18" name="Forme1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1918487" y="6738887"/>
          <a:ext cx="0" cy="2079704"/>
        </a:xfrm>
        <a:prstGeom prst="line">
          <a:avLst/>
        </a:prstGeom>
        <a:ln w="3175">
          <a:solidFill>
            <a:srgbClr val="00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468000</xdr:colOff>
      <xdr:row>34</xdr:row>
      <xdr:rowOff>20061</xdr:rowOff>
    </xdr:from>
    <xdr:to>
      <xdr:col>0</xdr:col>
      <xdr:colOff>6120000</xdr:colOff>
      <xdr:row>34</xdr:row>
      <xdr:rowOff>20061</xdr:rowOff>
    </xdr:to>
    <xdr:cxnSp macro="">
      <xdr:nvCxnSpPr>
        <xdr:cNvPr id="19" name="Forme1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99774" y="6497061"/>
          <a:ext cx="5642609" cy="0"/>
        </a:xfrm>
        <a:prstGeom prst="line">
          <a:avLst/>
        </a:prstGeom>
        <a:ln w="3175">
          <a:solidFill>
            <a:srgbClr val="00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468000</xdr:colOff>
      <xdr:row>35</xdr:row>
      <xdr:rowOff>71387</xdr:rowOff>
    </xdr:from>
    <xdr:to>
      <xdr:col>0</xdr:col>
      <xdr:colOff>6120000</xdr:colOff>
      <xdr:row>35</xdr:row>
      <xdr:rowOff>71387</xdr:rowOff>
    </xdr:to>
    <xdr:cxnSp macro="">
      <xdr:nvCxnSpPr>
        <xdr:cNvPr id="20" name="Forme1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483652" y="6738887"/>
          <a:ext cx="5642609" cy="0"/>
        </a:xfrm>
        <a:prstGeom prst="line">
          <a:avLst/>
        </a:prstGeom>
        <a:ln w="3175">
          <a:solidFill>
            <a:srgbClr val="00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3312000</xdr:colOff>
      <xdr:row>35</xdr:row>
      <xdr:rowOff>71387</xdr:rowOff>
    </xdr:from>
    <xdr:to>
      <xdr:col>0</xdr:col>
      <xdr:colOff>3312000</xdr:colOff>
      <xdr:row>46</xdr:row>
      <xdr:rowOff>71713</xdr:rowOff>
    </xdr:to>
    <xdr:cxnSp macro="">
      <xdr:nvCxnSpPr>
        <xdr:cNvPr id="21" name="Forme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3321078" y="6738887"/>
          <a:ext cx="0" cy="2095826"/>
        </a:xfrm>
        <a:prstGeom prst="line">
          <a:avLst/>
        </a:prstGeom>
        <a:ln w="3175">
          <a:solidFill>
            <a:srgbClr val="00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4716000</xdr:colOff>
      <xdr:row>35</xdr:row>
      <xdr:rowOff>87509</xdr:rowOff>
    </xdr:from>
    <xdr:to>
      <xdr:col>0</xdr:col>
      <xdr:colOff>4716000</xdr:colOff>
      <xdr:row>46</xdr:row>
      <xdr:rowOff>55591</xdr:rowOff>
    </xdr:to>
    <xdr:cxnSp macro="">
      <xdr:nvCxnSpPr>
        <xdr:cNvPr id="22" name="Forme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4739791" y="6755009"/>
          <a:ext cx="0" cy="2063583"/>
        </a:xfrm>
        <a:prstGeom prst="line">
          <a:avLst/>
        </a:prstGeom>
        <a:ln w="3175">
          <a:solidFill>
            <a:srgbClr val="00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468000</xdr:colOff>
      <xdr:row>29</xdr:row>
      <xdr:rowOff>69743</xdr:rowOff>
    </xdr:from>
    <xdr:to>
      <xdr:col>0</xdr:col>
      <xdr:colOff>6156000</xdr:colOff>
      <xdr:row>46</xdr:row>
      <xdr:rowOff>71713</xdr:rowOff>
    </xdr:to>
    <xdr:sp macro="" textlink="">
      <xdr:nvSpPr>
        <xdr:cNvPr id="23" name="Forme2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83652" y="5594243"/>
          <a:ext cx="5707096" cy="3240470"/>
        </a:xfrm>
        <a:prstGeom prst="rect">
          <a:avLst/>
        </a:prstGeom>
        <a:noFill/>
        <a:ln w="3175">
          <a:solidFill>
            <a:srgbClr val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4487" tIns="64487" rIns="64487" bIns="64487" rtlCol="0" anchor="t"/>
        <a:lstStyle/>
        <a:p>
          <a:pPr algn="ctr"/>
          <a:r>
            <a:rPr lang="fr-FR" sz="800" b="1" i="0">
              <a:solidFill>
                <a:srgbClr val="497187"/>
              </a:solidFill>
              <a:latin typeface="Arial"/>
            </a:rPr>
            <a:t>MAITRISE D'OUVRAGE</a:t>
          </a:r>
        </a:p>
        <a:p>
          <a:pPr algn="ctr"/>
          <a:endParaRPr sz="800" b="1">
            <a:solidFill>
              <a:srgbClr val="497187"/>
            </a:solidFill>
            <a:latin typeface="Arial"/>
          </a:endParaRPr>
        </a:p>
        <a:p>
          <a:pPr algn="ctr"/>
          <a:endParaRPr sz="800" b="1">
            <a:solidFill>
              <a:srgbClr val="497187"/>
            </a:solidFill>
            <a:latin typeface="Arial"/>
          </a:endParaRPr>
        </a:p>
        <a:p>
          <a:pPr algn="ctr"/>
          <a:r>
            <a:rPr lang="fr-FR" sz="800" b="1" i="0">
              <a:solidFill>
                <a:srgbClr val="000000"/>
              </a:solidFill>
              <a:latin typeface="Arial"/>
            </a:rPr>
            <a:t>SFHE &amp; SCCV MILLERY COTE MARQUIS</a:t>
          </a:r>
        </a:p>
        <a:p>
          <a:pPr algn="ctr"/>
          <a:r>
            <a:rPr lang="fr-FR" sz="600" b="1" i="0">
              <a:solidFill>
                <a:srgbClr val="000000"/>
              </a:solidFill>
              <a:latin typeface="Arial"/>
            </a:rPr>
            <a:t>24 rue Laure Diebold</a:t>
          </a:r>
        </a:p>
        <a:p>
          <a:pPr algn="ctr"/>
          <a:r>
            <a:rPr lang="fr-FR" sz="600" b="0" i="0">
              <a:solidFill>
                <a:srgbClr val="000000"/>
              </a:solidFill>
              <a:latin typeface="Arial"/>
            </a:rPr>
            <a:t>69009 LYON</a:t>
          </a:r>
        </a:p>
        <a:p>
          <a:pPr algn="ctr"/>
          <a:endParaRPr sz="600">
            <a:solidFill>
              <a:srgbClr val="000000"/>
            </a:solidFill>
            <a:latin typeface="Arial"/>
          </a:endParaRPr>
        </a:p>
        <a:p>
          <a:pPr algn="ctr"/>
          <a:r>
            <a:rPr lang="fr-FR" sz="600" b="0" i="0">
              <a:solidFill>
                <a:srgbClr val="000000"/>
              </a:solidFill>
              <a:latin typeface="Arial"/>
            </a:rPr>
            <a:t>Tel : 04 37 57 81 20</a:t>
          </a:r>
        </a:p>
        <a:p>
          <a:pPr algn="ctr"/>
          <a:endParaRPr sz="600">
            <a:solidFill>
              <a:srgbClr val="000000"/>
            </a:solidFill>
            <a:latin typeface="Arial"/>
          </a:endParaRPr>
        </a:p>
        <a:p>
          <a:pPr algn="ctr"/>
          <a:r>
            <a:rPr lang="fr-FR" sz="800" b="1" i="0">
              <a:solidFill>
                <a:srgbClr val="497187"/>
              </a:solidFill>
              <a:latin typeface="Arial"/>
            </a:rPr>
            <a:t>MAITRISE D'OEUVRE</a:t>
          </a:r>
        </a:p>
        <a:p>
          <a:pPr algn="ctr"/>
          <a:endParaRPr sz="1100">
            <a:solidFill>
              <a:srgbClr val="000000"/>
            </a:solidFill>
            <a:latin typeface="Calibri"/>
          </a:endParaRPr>
        </a:p>
        <a:p>
          <a:pPr algn="ctr"/>
          <a:endParaRPr sz="800" b="1">
            <a:solidFill>
              <a:srgbClr val="497187"/>
            </a:solidFill>
            <a:latin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72000</xdr:colOff>
      <xdr:row>0</xdr:row>
      <xdr:rowOff>80609</xdr:rowOff>
    </xdr:from>
    <xdr:to>
      <xdr:col>4</xdr:col>
      <xdr:colOff>300750</xdr:colOff>
      <xdr:row>0</xdr:row>
      <xdr:rowOff>628748</xdr:rowOff>
    </xdr:to>
    <xdr:sp macro="" textlink="">
      <xdr:nvSpPr>
        <xdr:cNvPr id="3" name="Forme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0609" y="80609"/>
          <a:ext cx="5110591" cy="548139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fr-FR" sz="800" b="1" i="0">
              <a:solidFill>
                <a:srgbClr val="AD84C6"/>
              </a:solidFill>
              <a:latin typeface="MS Shell Dlg"/>
            </a:rPr>
            <a:t>COTE MARQUIS - Création d'un ensemble résidentiel et d'une crèche</a:t>
          </a:r>
        </a:p>
        <a:p>
          <a:pPr algn="l"/>
          <a:endParaRPr sz="600" b="1">
            <a:solidFill>
              <a:srgbClr val="AD84C6"/>
            </a:solidFill>
            <a:latin typeface="MS Shell Dlg"/>
          </a:endParaRPr>
        </a:p>
        <a:p>
          <a:pPr algn="l"/>
          <a:r>
            <a:rPr lang="fr-FR" sz="800" b="1" i="0">
              <a:solidFill>
                <a:srgbClr val="AD84C6"/>
              </a:solidFill>
              <a:latin typeface="MS Shell Dlg"/>
            </a:rPr>
            <a:t>SFHE &amp; SCCV MILLERY COTE MARQUIS</a:t>
          </a:r>
        </a:p>
        <a:p>
          <a:pPr algn="l"/>
          <a:endParaRPr sz="600" b="1">
            <a:solidFill>
              <a:srgbClr val="AD84C6"/>
            </a:solidFill>
            <a:latin typeface="MS Shell Dlg"/>
          </a:endParaRPr>
        </a:p>
        <a:p>
          <a:pPr algn="l"/>
          <a:r>
            <a:rPr lang="fr-FR" sz="800" b="1" i="0">
              <a:solidFill>
                <a:srgbClr val="AD84C6"/>
              </a:solidFill>
              <a:latin typeface="MS Shell Dlg"/>
            </a:rPr>
            <a:t>Lot N°32 GROS-OEUVRE</a:t>
          </a:r>
        </a:p>
      </xdr:txBody>
    </xdr:sp>
    <xdr:clientData/>
  </xdr:twoCellAnchor>
  <xdr:twoCellAnchor editAs="absolute">
    <xdr:from>
      <xdr:col>0</xdr:col>
      <xdr:colOff>0</xdr:colOff>
      <xdr:row>0</xdr:row>
      <xdr:rowOff>677113</xdr:rowOff>
    </xdr:from>
    <xdr:to>
      <xdr:col>6</xdr:col>
      <xdr:colOff>230850</xdr:colOff>
      <xdr:row>0</xdr:row>
      <xdr:rowOff>677113</xdr:rowOff>
    </xdr:to>
    <xdr:cxnSp macro="">
      <xdr:nvCxnSpPr>
        <xdr:cNvPr id="4" name="Forme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0" y="677113"/>
          <a:ext cx="6642157" cy="0"/>
        </a:xfrm>
        <a:prstGeom prst="line">
          <a:avLst/>
        </a:prstGeom>
        <a:ln w="3175">
          <a:solidFill>
            <a:srgbClr val="00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144000</xdr:colOff>
      <xdr:row>0</xdr:row>
      <xdr:rowOff>96730</xdr:rowOff>
    </xdr:from>
    <xdr:to>
      <xdr:col>5</xdr:col>
      <xdr:colOff>529500</xdr:colOff>
      <xdr:row>0</xdr:row>
      <xdr:rowOff>548139</xdr:rowOff>
    </xdr:to>
    <xdr:sp macro="" textlink="">
      <xdr:nvSpPr>
        <xdr:cNvPr id="5" name="Forme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256139" y="96730"/>
          <a:ext cx="1982974" cy="451409"/>
        </a:xfrm>
        <a:prstGeom prst="rect">
          <a:avLst/>
        </a:prstGeom>
        <a:solidFill>
          <a:srgbClr val="FFFFFF"/>
        </a:solidFill>
        <a:ln w="3175">
          <a:solidFill>
            <a:srgbClr val="FFFFFF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rgbClr val="FFFFFF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0" tIns="0" rIns="0" bIns="0" rtlCol="0" anchor="t"/>
        <a:lstStyle/>
        <a:p>
          <a:pPr algn="r"/>
          <a:r>
            <a:rPr lang="fr-FR" sz="800" b="1" i="0">
              <a:solidFill>
                <a:srgbClr val="AD84C6"/>
              </a:solidFill>
              <a:latin typeface="MS Shell Dlg"/>
            </a:rPr>
            <a:t>Date édition : 27/06/2025</a:t>
          </a:r>
        </a:p>
        <a:p>
          <a:pPr algn="r"/>
          <a:endParaRPr sz="600" b="1">
            <a:solidFill>
              <a:srgbClr val="AD84C6"/>
            </a:solidFill>
            <a:latin typeface="MS Shell Dlg"/>
          </a:endParaRPr>
        </a:p>
        <a:p>
          <a:pPr algn="r"/>
          <a:r>
            <a:rPr lang="fr-FR" sz="800" b="1" i="0">
              <a:solidFill>
                <a:srgbClr val="AD84C6"/>
              </a:solidFill>
              <a:latin typeface="MS Shell Dlg"/>
            </a:rPr>
            <a:t>Phase DCE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8CC4-BA56-4051-A246-800005A6B85A}">
  <sheetPr>
    <pageSetUpPr fitToPage="1"/>
  </sheetPr>
  <dimension ref="A1"/>
  <sheetViews>
    <sheetView showGridLines="0" topLeftCell="A31" workbookViewId="0">
      <selection activeCell="B53" sqref="B53"/>
    </sheetView>
  </sheetViews>
  <sheetFormatPr baseColWidth="10" defaultColWidth="10.6640625" defaultRowHeight="14.4" x14ac:dyDescent="0.3"/>
  <cols>
    <col min="1" max="1" width="111.33203125" customWidth="1"/>
    <col min="2" max="2" width="10.6640625" customWidth="1"/>
  </cols>
  <sheetData/>
  <printOptions horizontalCentered="1"/>
  <pageMargins left="0.08" right="0.08" top="0.06" bottom="0.06" header="0.76" footer="0.7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3C55-5374-44F5-AD9E-7FEA533076AF}">
  <sheetPr>
    <pageSetUpPr fitToPage="1"/>
  </sheetPr>
  <dimension ref="A1:AAA401"/>
  <sheetViews>
    <sheetView showGridLines="0" tabSelected="1" workbookViewId="0">
      <pane xSplit="2" ySplit="2" topLeftCell="C388" activePane="bottomRight" state="frozen"/>
      <selection pane="topRight" activeCell="C1" sqref="C1"/>
      <selection pane="bottomLeft" activeCell="A3" sqref="A3"/>
      <selection pane="bottomRight" activeCell="G397" sqref="G397"/>
    </sheetView>
  </sheetViews>
  <sheetFormatPr baseColWidth="10" defaultColWidth="10.6640625" defaultRowHeight="14.4" x14ac:dyDescent="0.3"/>
  <cols>
    <col min="1" max="1" width="9.6640625" customWidth="1"/>
    <col min="2" max="2" width="46.6640625" customWidth="1"/>
    <col min="3" max="3" width="4.6640625" customWidth="1"/>
    <col min="4" max="5" width="12.109375" customWidth="1"/>
    <col min="6" max="6" width="10.6640625" customWidth="1"/>
    <col min="7" max="7" width="12.6640625" customWidth="1"/>
    <col min="8" max="8" width="10.6640625" customWidth="1"/>
    <col min="702" max="704" width="10.6640625" customWidth="1"/>
  </cols>
  <sheetData>
    <row r="1" spans="1:703" ht="58.2" customHeight="1" x14ac:dyDescent="0.3">
      <c r="A1" s="59"/>
      <c r="B1" s="60"/>
      <c r="C1" s="60"/>
      <c r="D1" s="60"/>
      <c r="E1" s="60"/>
      <c r="F1" s="60"/>
      <c r="G1" s="61"/>
    </row>
    <row r="2" spans="1:703" ht="28.8" x14ac:dyDescent="0.3">
      <c r="A2" s="1"/>
      <c r="B2" s="2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5" t="s">
        <v>5</v>
      </c>
    </row>
    <row r="3" spans="1:703" x14ac:dyDescent="0.3">
      <c r="A3" s="1"/>
      <c r="B3" s="6"/>
      <c r="C3" s="7"/>
      <c r="D3" s="7"/>
      <c r="E3" s="7"/>
      <c r="F3" s="7"/>
      <c r="G3" s="8"/>
    </row>
    <row r="4" spans="1:703" x14ac:dyDescent="0.3">
      <c r="A4" s="53" t="s">
        <v>6</v>
      </c>
      <c r="B4" s="9" t="s">
        <v>7</v>
      </c>
      <c r="C4" s="10"/>
      <c r="D4" s="10"/>
      <c r="E4" s="10"/>
      <c r="F4" s="10"/>
      <c r="G4" s="11"/>
      <c r="ZZ4" t="s">
        <v>8</v>
      </c>
      <c r="AAA4" s="12"/>
    </row>
    <row r="5" spans="1:703" x14ac:dyDescent="0.3">
      <c r="A5" s="13" t="s">
        <v>9</v>
      </c>
      <c r="B5" s="14" t="s">
        <v>10</v>
      </c>
      <c r="C5" s="15" t="s">
        <v>11</v>
      </c>
      <c r="D5" s="16">
        <v>1</v>
      </c>
      <c r="E5" s="56">
        <f>D5</f>
        <v>1</v>
      </c>
      <c r="F5" s="17">
        <v>19800</v>
      </c>
      <c r="G5" s="18">
        <f>ROUND(E5*F5,2)</f>
        <v>19800</v>
      </c>
      <c r="ZZ5" t="s">
        <v>12</v>
      </c>
      <c r="AAA5" s="12" t="s">
        <v>13</v>
      </c>
    </row>
    <row r="6" spans="1:703" x14ac:dyDescent="0.3">
      <c r="A6" s="19" t="s">
        <v>14</v>
      </c>
      <c r="B6" s="20" t="s">
        <v>15</v>
      </c>
      <c r="C6" s="15" t="s">
        <v>11</v>
      </c>
      <c r="D6" s="16">
        <v>1</v>
      </c>
      <c r="E6" s="56">
        <f t="shared" ref="E6:E68" si="0">D6</f>
        <v>1</v>
      </c>
      <c r="F6" s="17">
        <v>792</v>
      </c>
      <c r="G6" s="18">
        <f>ROUND(E6*F6,2)</f>
        <v>792</v>
      </c>
      <c r="ZZ6" t="s">
        <v>12</v>
      </c>
      <c r="AAA6" s="12" t="s">
        <v>16</v>
      </c>
    </row>
    <row r="7" spans="1:703" x14ac:dyDescent="0.3">
      <c r="A7" s="21"/>
      <c r="B7" s="22"/>
      <c r="C7" s="10"/>
      <c r="D7" s="10"/>
      <c r="E7" s="16">
        <f t="shared" si="0"/>
        <v>0</v>
      </c>
      <c r="F7" s="10"/>
      <c r="G7" s="23"/>
    </row>
    <row r="8" spans="1:703" x14ac:dyDescent="0.3">
      <c r="A8" s="54"/>
      <c r="B8" s="32" t="s">
        <v>17</v>
      </c>
      <c r="C8" s="33"/>
      <c r="D8" s="33"/>
      <c r="E8" s="33"/>
      <c r="F8" s="33"/>
      <c r="G8" s="34">
        <f>SUBTOTAL(109,G5:G7)</f>
        <v>20592</v>
      </c>
      <c r="H8" s="35"/>
      <c r="ZZ8" t="s">
        <v>18</v>
      </c>
    </row>
    <row r="9" spans="1:703" x14ac:dyDescent="0.3">
      <c r="A9" s="1"/>
      <c r="B9" s="6"/>
      <c r="C9" s="10"/>
      <c r="D9" s="10"/>
      <c r="E9" s="16">
        <f t="shared" si="0"/>
        <v>0</v>
      </c>
      <c r="F9" s="10"/>
      <c r="G9" s="8"/>
    </row>
    <row r="10" spans="1:703" x14ac:dyDescent="0.3">
      <c r="A10" s="53" t="s">
        <v>19</v>
      </c>
      <c r="B10" s="9" t="s">
        <v>20</v>
      </c>
      <c r="C10" s="10"/>
      <c r="D10" s="10"/>
      <c r="E10" s="16">
        <f t="shared" si="0"/>
        <v>0</v>
      </c>
      <c r="F10" s="10"/>
      <c r="G10" s="11"/>
      <c r="ZZ10" t="s">
        <v>8</v>
      </c>
      <c r="AAA10" s="12"/>
    </row>
    <row r="11" spans="1:703" x14ac:dyDescent="0.3">
      <c r="A11" s="13" t="s">
        <v>21</v>
      </c>
      <c r="B11" s="14" t="s">
        <v>22</v>
      </c>
      <c r="C11" s="15" t="s">
        <v>11</v>
      </c>
      <c r="D11" s="16">
        <v>1</v>
      </c>
      <c r="E11" s="56">
        <f t="shared" si="0"/>
        <v>1</v>
      </c>
      <c r="F11" s="17">
        <v>67241.02</v>
      </c>
      <c r="G11" s="18">
        <f>ROUND(E11*F11,2)</f>
        <v>67241.02</v>
      </c>
      <c r="ZZ11" t="s">
        <v>12</v>
      </c>
      <c r="AAA11" s="12" t="s">
        <v>23</v>
      </c>
    </row>
    <row r="12" spans="1:703" x14ac:dyDescent="0.3">
      <c r="A12" s="19" t="s">
        <v>24</v>
      </c>
      <c r="B12" s="20" t="s">
        <v>25</v>
      </c>
      <c r="C12" s="15" t="s">
        <v>26</v>
      </c>
      <c r="D12" s="24">
        <v>141.5</v>
      </c>
      <c r="E12" s="56">
        <v>141.5</v>
      </c>
      <c r="F12" s="17">
        <v>13.99</v>
      </c>
      <c r="G12" s="18">
        <f>ROUND(E12*F12,2)</f>
        <v>1979.59</v>
      </c>
      <c r="ZZ12" t="s">
        <v>12</v>
      </c>
      <c r="AAA12" s="12" t="s">
        <v>27</v>
      </c>
    </row>
    <row r="13" spans="1:703" x14ac:dyDescent="0.3">
      <c r="A13" s="19" t="s">
        <v>28</v>
      </c>
      <c r="B13" s="20" t="s">
        <v>29</v>
      </c>
      <c r="C13" s="15" t="s">
        <v>1</v>
      </c>
      <c r="D13" s="16">
        <v>1</v>
      </c>
      <c r="E13" s="56">
        <f t="shared" si="0"/>
        <v>1</v>
      </c>
      <c r="F13" s="17">
        <v>1617</v>
      </c>
      <c r="G13" s="18">
        <f>ROUND(E13*F13,2)</f>
        <v>1617</v>
      </c>
      <c r="ZZ13" t="s">
        <v>12</v>
      </c>
      <c r="AAA13" s="12" t="s">
        <v>30</v>
      </c>
    </row>
    <row r="14" spans="1:703" x14ac:dyDescent="0.3">
      <c r="A14" s="19" t="s">
        <v>31</v>
      </c>
      <c r="B14" s="20" t="s">
        <v>32</v>
      </c>
      <c r="C14" s="15" t="s">
        <v>1</v>
      </c>
      <c r="D14" s="16">
        <v>1</v>
      </c>
      <c r="E14" s="56">
        <f t="shared" si="0"/>
        <v>1</v>
      </c>
      <c r="F14" s="17">
        <v>858</v>
      </c>
      <c r="G14" s="18">
        <f>ROUND(E14*F14,2)</f>
        <v>858</v>
      </c>
      <c r="ZZ14" t="s">
        <v>12</v>
      </c>
      <c r="AAA14" s="12" t="s">
        <v>33</v>
      </c>
    </row>
    <row r="15" spans="1:703" x14ac:dyDescent="0.3">
      <c r="A15" s="21"/>
      <c r="B15" s="22"/>
      <c r="C15" s="10"/>
      <c r="D15" s="10"/>
      <c r="E15" s="16">
        <f t="shared" si="0"/>
        <v>0</v>
      </c>
      <c r="F15" s="10"/>
      <c r="G15" s="23"/>
    </row>
    <row r="16" spans="1:703" x14ac:dyDescent="0.3">
      <c r="A16" s="54"/>
      <c r="B16" s="32" t="s">
        <v>34</v>
      </c>
      <c r="C16" s="33"/>
      <c r="D16" s="33"/>
      <c r="E16" s="33"/>
      <c r="F16" s="33"/>
      <c r="G16" s="34">
        <f>SUBTOTAL(109,G11:G15)</f>
        <v>71695.61</v>
      </c>
      <c r="H16" s="35"/>
      <c r="ZZ16" t="s">
        <v>18</v>
      </c>
    </row>
    <row r="17" spans="1:703" x14ac:dyDescent="0.3">
      <c r="A17" s="1"/>
      <c r="B17" s="6"/>
      <c r="C17" s="10"/>
      <c r="D17" s="10"/>
      <c r="E17" s="16">
        <f t="shared" si="0"/>
        <v>0</v>
      </c>
      <c r="F17" s="10"/>
      <c r="G17" s="8"/>
    </row>
    <row r="18" spans="1:703" x14ac:dyDescent="0.3">
      <c r="A18" s="53" t="s">
        <v>35</v>
      </c>
      <c r="B18" s="9" t="s">
        <v>36</v>
      </c>
      <c r="C18" s="10"/>
      <c r="D18" s="10"/>
      <c r="E18" s="16">
        <f t="shared" si="0"/>
        <v>0</v>
      </c>
      <c r="F18" s="10"/>
      <c r="G18" s="11"/>
      <c r="ZZ18" t="s">
        <v>8</v>
      </c>
      <c r="AAA18" s="12"/>
    </row>
    <row r="19" spans="1:703" x14ac:dyDescent="0.3">
      <c r="A19" s="25" t="s">
        <v>37</v>
      </c>
      <c r="B19" s="26" t="s">
        <v>38</v>
      </c>
      <c r="C19" s="10"/>
      <c r="D19" s="10"/>
      <c r="E19" s="16">
        <f t="shared" si="0"/>
        <v>0</v>
      </c>
      <c r="F19" s="10"/>
      <c r="G19" s="11"/>
      <c r="ZZ19" t="s">
        <v>39</v>
      </c>
      <c r="AAA19" s="12"/>
    </row>
    <row r="20" spans="1:703" x14ac:dyDescent="0.3">
      <c r="A20" s="19" t="s">
        <v>40</v>
      </c>
      <c r="B20" s="20" t="s">
        <v>41</v>
      </c>
      <c r="C20" s="15" t="s">
        <v>42</v>
      </c>
      <c r="D20" s="27">
        <v>16.329999999999998</v>
      </c>
      <c r="E20" s="56">
        <f t="shared" si="0"/>
        <v>16.329999999999998</v>
      </c>
      <c r="F20" s="17">
        <v>17.25</v>
      </c>
      <c r="G20" s="18">
        <f>ROUND(E20*F20,2)</f>
        <v>281.69</v>
      </c>
      <c r="ZZ20" t="s">
        <v>12</v>
      </c>
      <c r="AAA20" s="12" t="s">
        <v>43</v>
      </c>
    </row>
    <row r="21" spans="1:703" x14ac:dyDescent="0.3">
      <c r="A21" s="19" t="s">
        <v>44</v>
      </c>
      <c r="B21" s="20" t="s">
        <v>45</v>
      </c>
      <c r="C21" s="15" t="s">
        <v>42</v>
      </c>
      <c r="D21" s="27">
        <v>82.816999999999993</v>
      </c>
      <c r="E21" s="57">
        <v>82.816999999999993</v>
      </c>
      <c r="F21" s="17">
        <v>17.25</v>
      </c>
      <c r="G21" s="18">
        <f>ROUND(E21*F21,2)</f>
        <v>1428.59</v>
      </c>
      <c r="ZZ21" t="s">
        <v>12</v>
      </c>
      <c r="AAA21" s="12" t="s">
        <v>46</v>
      </c>
    </row>
    <row r="22" spans="1:703" x14ac:dyDescent="0.3">
      <c r="A22" s="19" t="s">
        <v>47</v>
      </c>
      <c r="B22" s="20" t="s">
        <v>48</v>
      </c>
      <c r="C22" s="15" t="s">
        <v>42</v>
      </c>
      <c r="D22" s="27">
        <v>99.147000000000006</v>
      </c>
      <c r="E22" s="57">
        <f t="shared" si="0"/>
        <v>99.147000000000006</v>
      </c>
      <c r="F22" s="17">
        <v>33.770000000000003</v>
      </c>
      <c r="G22" s="18">
        <f>ROUND(E22*F22,2)</f>
        <v>3348.19</v>
      </c>
      <c r="ZZ22" t="s">
        <v>12</v>
      </c>
      <c r="AAA22" s="12" t="s">
        <v>49</v>
      </c>
    </row>
    <row r="23" spans="1:703" x14ac:dyDescent="0.3">
      <c r="A23" s="28" t="s">
        <v>50</v>
      </c>
      <c r="B23" s="29" t="s">
        <v>51</v>
      </c>
      <c r="C23" s="10"/>
      <c r="D23" s="10"/>
      <c r="E23" s="16">
        <f t="shared" si="0"/>
        <v>0</v>
      </c>
      <c r="F23" s="10"/>
      <c r="G23" s="11"/>
      <c r="ZZ23" t="s">
        <v>39</v>
      </c>
      <c r="AAA23" s="12"/>
    </row>
    <row r="24" spans="1:703" x14ac:dyDescent="0.3">
      <c r="A24" s="19" t="s">
        <v>52</v>
      </c>
      <c r="B24" s="20" t="s">
        <v>53</v>
      </c>
      <c r="C24" s="15" t="s">
        <v>42</v>
      </c>
      <c r="D24" s="27">
        <v>54.55</v>
      </c>
      <c r="E24" s="56">
        <f t="shared" si="0"/>
        <v>54.55</v>
      </c>
      <c r="F24" s="17">
        <v>176.65</v>
      </c>
      <c r="G24" s="18">
        <f>ROUND(E24*F24,2)</f>
        <v>9636.26</v>
      </c>
      <c r="ZZ24" t="s">
        <v>12</v>
      </c>
      <c r="AAA24" s="12" t="s">
        <v>54</v>
      </c>
    </row>
    <row r="25" spans="1:703" x14ac:dyDescent="0.3">
      <c r="A25" s="19" t="s">
        <v>55</v>
      </c>
      <c r="B25" s="20" t="s">
        <v>56</v>
      </c>
      <c r="C25" s="15" t="s">
        <v>57</v>
      </c>
      <c r="D25" s="17">
        <v>19.39</v>
      </c>
      <c r="E25" s="56">
        <v>19.39</v>
      </c>
      <c r="F25" s="17">
        <v>11.08</v>
      </c>
      <c r="G25" s="18">
        <f>ROUND(E25*F25,2)</f>
        <v>214.84</v>
      </c>
      <c r="ZZ25" t="s">
        <v>12</v>
      </c>
      <c r="AAA25" s="12" t="s">
        <v>58</v>
      </c>
    </row>
    <row r="26" spans="1:703" x14ac:dyDescent="0.3">
      <c r="A26" s="28" t="s">
        <v>59</v>
      </c>
      <c r="B26" s="29" t="s">
        <v>60</v>
      </c>
      <c r="C26" s="10"/>
      <c r="D26" s="10"/>
      <c r="E26" s="16">
        <f t="shared" si="0"/>
        <v>0</v>
      </c>
      <c r="F26" s="10"/>
      <c r="G26" s="11"/>
      <c r="ZZ26" t="s">
        <v>39</v>
      </c>
      <c r="AAA26" s="12"/>
    </row>
    <row r="27" spans="1:703" x14ac:dyDescent="0.3">
      <c r="A27" s="19" t="s">
        <v>61</v>
      </c>
      <c r="B27" s="20" t="s">
        <v>62</v>
      </c>
      <c r="C27" s="15" t="s">
        <v>57</v>
      </c>
      <c r="D27" s="17">
        <v>20.16</v>
      </c>
      <c r="E27" s="56">
        <v>20.16</v>
      </c>
      <c r="F27" s="17">
        <v>40.92</v>
      </c>
      <c r="G27" s="18">
        <f>ROUND(E27*F27,2)</f>
        <v>824.95</v>
      </c>
      <c r="ZZ27" t="s">
        <v>12</v>
      </c>
      <c r="AAA27" s="12" t="s">
        <v>63</v>
      </c>
    </row>
    <row r="28" spans="1:703" x14ac:dyDescent="0.3">
      <c r="A28" s="19" t="s">
        <v>64</v>
      </c>
      <c r="B28" s="20" t="s">
        <v>65</v>
      </c>
      <c r="C28" s="15" t="s">
        <v>66</v>
      </c>
      <c r="D28" s="27">
        <v>381.81</v>
      </c>
      <c r="E28" s="56">
        <v>381.81</v>
      </c>
      <c r="F28" s="17">
        <v>2.4300000000000002</v>
      </c>
      <c r="G28" s="18">
        <f>ROUND(E28*F28,2)</f>
        <v>927.8</v>
      </c>
      <c r="ZZ28" t="s">
        <v>12</v>
      </c>
      <c r="AAA28" s="12" t="s">
        <v>67</v>
      </c>
    </row>
    <row r="29" spans="1:703" x14ac:dyDescent="0.3">
      <c r="A29" s="19" t="s">
        <v>68</v>
      </c>
      <c r="B29" s="20" t="s">
        <v>69</v>
      </c>
      <c r="C29" s="15" t="s">
        <v>42</v>
      </c>
      <c r="D29" s="27">
        <v>5.8739999999999997</v>
      </c>
      <c r="E29" s="57">
        <f t="shared" si="0"/>
        <v>5.8739999999999997</v>
      </c>
      <c r="F29" s="17">
        <v>180.61</v>
      </c>
      <c r="G29" s="18">
        <f>ROUND(E29*F29,2)</f>
        <v>1060.9000000000001</v>
      </c>
      <c r="ZZ29" t="s">
        <v>12</v>
      </c>
      <c r="AAA29" s="12" t="s">
        <v>70</v>
      </c>
    </row>
    <row r="30" spans="1:703" x14ac:dyDescent="0.3">
      <c r="A30" s="28" t="s">
        <v>71</v>
      </c>
      <c r="B30" s="29" t="s">
        <v>72</v>
      </c>
      <c r="C30" s="10"/>
      <c r="D30" s="10"/>
      <c r="E30" s="16">
        <f t="shared" si="0"/>
        <v>0</v>
      </c>
      <c r="F30" s="10"/>
      <c r="G30" s="11"/>
      <c r="ZZ30" t="s">
        <v>39</v>
      </c>
      <c r="AAA30" s="12"/>
    </row>
    <row r="31" spans="1:703" x14ac:dyDescent="0.3">
      <c r="A31" s="19" t="s">
        <v>73</v>
      </c>
      <c r="B31" s="20" t="s">
        <v>74</v>
      </c>
      <c r="C31" s="15" t="s">
        <v>57</v>
      </c>
      <c r="D31" s="17">
        <v>106.61</v>
      </c>
      <c r="E31" s="56">
        <f t="shared" si="0"/>
        <v>106.61</v>
      </c>
      <c r="F31" s="17">
        <v>20.46</v>
      </c>
      <c r="G31" s="18">
        <f>ROUND(E31*F31,2)</f>
        <v>2181.2399999999998</v>
      </c>
      <c r="ZZ31" t="s">
        <v>12</v>
      </c>
      <c r="AAA31" s="12" t="s">
        <v>75</v>
      </c>
    </row>
    <row r="32" spans="1:703" x14ac:dyDescent="0.3">
      <c r="A32" s="19" t="s">
        <v>76</v>
      </c>
      <c r="B32" s="20" t="s">
        <v>77</v>
      </c>
      <c r="C32" s="15" t="s">
        <v>66</v>
      </c>
      <c r="D32" s="27">
        <v>1487.0350000000001</v>
      </c>
      <c r="E32" s="57">
        <f t="shared" si="0"/>
        <v>1487.0350000000001</v>
      </c>
      <c r="F32" s="17">
        <v>2.4300000000000002</v>
      </c>
      <c r="G32" s="18">
        <f>ROUND(E32*F32,2)</f>
        <v>3613.5</v>
      </c>
      <c r="ZZ32" t="s">
        <v>12</v>
      </c>
      <c r="AAA32" s="12" t="s">
        <v>78</v>
      </c>
    </row>
    <row r="33" spans="1:703" x14ac:dyDescent="0.3">
      <c r="A33" s="19" t="s">
        <v>79</v>
      </c>
      <c r="B33" s="20" t="s">
        <v>80</v>
      </c>
      <c r="C33" s="15" t="s">
        <v>42</v>
      </c>
      <c r="D33" s="27">
        <v>27.036999999999999</v>
      </c>
      <c r="E33" s="57">
        <f t="shared" si="0"/>
        <v>27.036999999999999</v>
      </c>
      <c r="F33" s="17">
        <v>180.61</v>
      </c>
      <c r="G33" s="18">
        <f>ROUND(E33*F33,2)</f>
        <v>4883.1499999999996</v>
      </c>
      <c r="ZZ33" t="s">
        <v>12</v>
      </c>
      <c r="AAA33" s="12" t="s">
        <v>81</v>
      </c>
    </row>
    <row r="34" spans="1:703" x14ac:dyDescent="0.3">
      <c r="A34" s="28" t="s">
        <v>82</v>
      </c>
      <c r="B34" s="29" t="s">
        <v>83</v>
      </c>
      <c r="C34" s="10"/>
      <c r="D34" s="10"/>
      <c r="E34" s="16"/>
      <c r="F34" s="10"/>
      <c r="G34" s="11"/>
      <c r="ZZ34" t="s">
        <v>39</v>
      </c>
      <c r="AAA34" s="12"/>
    </row>
    <row r="35" spans="1:703" x14ac:dyDescent="0.3">
      <c r="A35" s="19" t="s">
        <v>84</v>
      </c>
      <c r="B35" s="20" t="s">
        <v>85</v>
      </c>
      <c r="C35" s="15" t="s">
        <v>57</v>
      </c>
      <c r="D35" s="17">
        <v>3.04</v>
      </c>
      <c r="E35" s="56">
        <f t="shared" si="0"/>
        <v>3.04</v>
      </c>
      <c r="F35" s="17">
        <v>40.92</v>
      </c>
      <c r="G35" s="18">
        <f>ROUND(E35*F35,2)</f>
        <v>124.4</v>
      </c>
      <c r="ZZ35" t="s">
        <v>12</v>
      </c>
      <c r="AAA35" s="12" t="s">
        <v>86</v>
      </c>
    </row>
    <row r="36" spans="1:703" x14ac:dyDescent="0.3">
      <c r="A36" s="19" t="s">
        <v>87</v>
      </c>
      <c r="B36" s="20" t="s">
        <v>88</v>
      </c>
      <c r="C36" s="15" t="s">
        <v>66</v>
      </c>
      <c r="D36" s="27">
        <v>91.070999999999998</v>
      </c>
      <c r="E36" s="57">
        <f t="shared" si="0"/>
        <v>91.070999999999998</v>
      </c>
      <c r="F36" s="17">
        <v>2.4300000000000002</v>
      </c>
      <c r="G36" s="18">
        <f>ROUND(E36*F36,2)</f>
        <v>221.3</v>
      </c>
      <c r="ZZ36" t="s">
        <v>12</v>
      </c>
      <c r="AAA36" s="12" t="s">
        <v>89</v>
      </c>
    </row>
    <row r="37" spans="1:703" x14ac:dyDescent="0.3">
      <c r="A37" s="19" t="s">
        <v>90</v>
      </c>
      <c r="B37" s="20" t="s">
        <v>91</v>
      </c>
      <c r="C37" s="15" t="s">
        <v>42</v>
      </c>
      <c r="D37" s="27">
        <v>0.91100000000000003</v>
      </c>
      <c r="E37" s="57">
        <f t="shared" si="0"/>
        <v>0.91100000000000003</v>
      </c>
      <c r="F37" s="17">
        <v>180.61</v>
      </c>
      <c r="G37" s="18">
        <f>ROUND(E37*F37,2)</f>
        <v>164.54</v>
      </c>
      <c r="ZZ37" t="s">
        <v>12</v>
      </c>
      <c r="AAA37" s="12" t="s">
        <v>92</v>
      </c>
    </row>
    <row r="38" spans="1:703" x14ac:dyDescent="0.3">
      <c r="A38" s="28" t="s">
        <v>93</v>
      </c>
      <c r="B38" s="29" t="s">
        <v>94</v>
      </c>
      <c r="C38" s="10"/>
      <c r="D38" s="10"/>
      <c r="E38" s="56"/>
      <c r="F38" s="10"/>
      <c r="G38" s="11"/>
      <c r="ZZ38" t="s">
        <v>39</v>
      </c>
      <c r="AAA38" s="12"/>
    </row>
    <row r="39" spans="1:703" x14ac:dyDescent="0.3">
      <c r="A39" s="19" t="s">
        <v>95</v>
      </c>
      <c r="B39" s="20" t="s">
        <v>96</v>
      </c>
      <c r="C39" s="15" t="s">
        <v>57</v>
      </c>
      <c r="D39" s="17">
        <v>16.350000000000001</v>
      </c>
      <c r="E39" s="56">
        <f t="shared" si="0"/>
        <v>16.350000000000001</v>
      </c>
      <c r="F39" s="17">
        <v>45.01</v>
      </c>
      <c r="G39" s="18">
        <f>ROUND(E39*F39,2)</f>
        <v>735.91</v>
      </c>
      <c r="ZZ39" t="s">
        <v>12</v>
      </c>
      <c r="AAA39" s="12" t="s">
        <v>97</v>
      </c>
    </row>
    <row r="40" spans="1:703" x14ac:dyDescent="0.3">
      <c r="A40" s="19" t="s">
        <v>98</v>
      </c>
      <c r="B40" s="20" t="s">
        <v>99</v>
      </c>
      <c r="C40" s="15" t="s">
        <v>66</v>
      </c>
      <c r="D40" s="27">
        <v>1078.99</v>
      </c>
      <c r="E40" s="56">
        <f t="shared" si="0"/>
        <v>1078.99</v>
      </c>
      <c r="F40" s="17">
        <v>2.4300000000000002</v>
      </c>
      <c r="G40" s="18">
        <f>ROUND(E40*F40,2)</f>
        <v>2621.95</v>
      </c>
      <c r="ZZ40" t="s">
        <v>12</v>
      </c>
      <c r="AAA40" s="12" t="s">
        <v>100</v>
      </c>
    </row>
    <row r="41" spans="1:703" x14ac:dyDescent="0.3">
      <c r="A41" s="19" t="s">
        <v>101</v>
      </c>
      <c r="B41" s="20" t="s">
        <v>102</v>
      </c>
      <c r="C41" s="15" t="s">
        <v>42</v>
      </c>
      <c r="D41" s="27">
        <v>9.8089999999999993</v>
      </c>
      <c r="E41" s="57">
        <f t="shared" si="0"/>
        <v>9.8089999999999993</v>
      </c>
      <c r="F41" s="17">
        <v>180.61</v>
      </c>
      <c r="G41" s="18">
        <f>ROUND(E41*F41,2)</f>
        <v>1771.6</v>
      </c>
      <c r="ZZ41" t="s">
        <v>12</v>
      </c>
      <c r="AAA41" s="12" t="s">
        <v>103</v>
      </c>
    </row>
    <row r="42" spans="1:703" x14ac:dyDescent="0.3">
      <c r="A42" s="21"/>
      <c r="B42" s="22"/>
      <c r="C42" s="10"/>
      <c r="D42" s="10"/>
      <c r="E42" s="56"/>
      <c r="F42" s="10"/>
      <c r="G42" s="23"/>
    </row>
    <row r="43" spans="1:703" x14ac:dyDescent="0.3">
      <c r="A43" s="54"/>
      <c r="B43" s="32" t="s">
        <v>104</v>
      </c>
      <c r="C43" s="33"/>
      <c r="D43" s="33"/>
      <c r="E43" s="33"/>
      <c r="F43" s="33"/>
      <c r="G43" s="34">
        <f>SUBTOTAL(109,G19:G42)</f>
        <v>34040.810000000005</v>
      </c>
      <c r="H43" s="35"/>
      <c r="ZZ43" t="s">
        <v>18</v>
      </c>
    </row>
    <row r="44" spans="1:703" x14ac:dyDescent="0.3">
      <c r="A44" s="1"/>
      <c r="B44" s="6"/>
      <c r="C44" s="10"/>
      <c r="D44" s="10"/>
      <c r="E44" s="56"/>
      <c r="F44" s="10"/>
      <c r="G44" s="8"/>
    </row>
    <row r="45" spans="1:703" x14ac:dyDescent="0.3">
      <c r="A45" s="53" t="s">
        <v>105</v>
      </c>
      <c r="B45" s="9" t="s">
        <v>106</v>
      </c>
      <c r="C45" s="10"/>
      <c r="D45" s="10"/>
      <c r="E45" s="56"/>
      <c r="F45" s="10"/>
      <c r="G45" s="11"/>
      <c r="ZZ45" t="s">
        <v>8</v>
      </c>
      <c r="AAA45" s="12"/>
    </row>
    <row r="46" spans="1:703" x14ac:dyDescent="0.3">
      <c r="A46" s="25" t="s">
        <v>107</v>
      </c>
      <c r="B46" s="26" t="s">
        <v>108</v>
      </c>
      <c r="C46" s="10"/>
      <c r="D46" s="10"/>
      <c r="E46" s="56"/>
      <c r="F46" s="10"/>
      <c r="G46" s="11"/>
      <c r="ZZ46" t="s">
        <v>39</v>
      </c>
      <c r="AAA46" s="12"/>
    </row>
    <row r="47" spans="1:703" x14ac:dyDescent="0.3">
      <c r="A47" s="19" t="s">
        <v>109</v>
      </c>
      <c r="B47" s="20" t="s">
        <v>110</v>
      </c>
      <c r="C47" s="15" t="s">
        <v>57</v>
      </c>
      <c r="D47" s="17">
        <v>565.13</v>
      </c>
      <c r="E47" s="56">
        <f t="shared" si="0"/>
        <v>565.13</v>
      </c>
      <c r="F47" s="17">
        <v>10.31</v>
      </c>
      <c r="G47" s="18">
        <f>ROUND(E47*F47,2)</f>
        <v>5826.49</v>
      </c>
      <c r="ZZ47" t="s">
        <v>12</v>
      </c>
      <c r="AAA47" s="12" t="s">
        <v>111</v>
      </c>
    </row>
    <row r="48" spans="1:703" x14ac:dyDescent="0.3">
      <c r="A48" s="28" t="s">
        <v>112</v>
      </c>
      <c r="B48" s="29" t="s">
        <v>113</v>
      </c>
      <c r="C48" s="10"/>
      <c r="D48" s="10"/>
      <c r="E48" s="56"/>
      <c r="F48" s="10"/>
      <c r="G48" s="11"/>
      <c r="ZZ48" t="s">
        <v>39</v>
      </c>
      <c r="AAA48" s="12"/>
    </row>
    <row r="49" spans="1:703" x14ac:dyDescent="0.3">
      <c r="A49" s="19" t="s">
        <v>114</v>
      </c>
      <c r="B49" s="20" t="s">
        <v>115</v>
      </c>
      <c r="C49" s="15" t="s">
        <v>57</v>
      </c>
      <c r="D49" s="17">
        <v>8.34</v>
      </c>
      <c r="E49" s="56">
        <f t="shared" si="0"/>
        <v>8.34</v>
      </c>
      <c r="F49" s="17">
        <v>30.02</v>
      </c>
      <c r="G49" s="18">
        <f>ROUND(E49*F49,2)</f>
        <v>250.37</v>
      </c>
      <c r="ZZ49" t="s">
        <v>12</v>
      </c>
      <c r="AAA49" s="12" t="s">
        <v>116</v>
      </c>
    </row>
    <row r="50" spans="1:703" x14ac:dyDescent="0.3">
      <c r="A50" s="28" t="s">
        <v>117</v>
      </c>
      <c r="B50" s="29" t="s">
        <v>118</v>
      </c>
      <c r="C50" s="10"/>
      <c r="D50" s="10"/>
      <c r="E50" s="56"/>
      <c r="F50" s="10"/>
      <c r="G50" s="11"/>
      <c r="ZZ50" t="s">
        <v>39</v>
      </c>
      <c r="AAA50" s="12"/>
    </row>
    <row r="51" spans="1:703" x14ac:dyDescent="0.3">
      <c r="A51" s="19" t="s">
        <v>119</v>
      </c>
      <c r="B51" s="20" t="s">
        <v>120</v>
      </c>
      <c r="C51" s="15" t="s">
        <v>57</v>
      </c>
      <c r="D51" s="17">
        <v>556.79</v>
      </c>
      <c r="E51" s="56">
        <f t="shared" si="0"/>
        <v>556.79</v>
      </c>
      <c r="F51" s="17">
        <v>8.58</v>
      </c>
      <c r="G51" s="18">
        <f>ROUND(E51*F51,2)</f>
        <v>4777.26</v>
      </c>
      <c r="ZZ51" t="s">
        <v>12</v>
      </c>
      <c r="AAA51" s="12" t="s">
        <v>121</v>
      </c>
    </row>
    <row r="52" spans="1:703" x14ac:dyDescent="0.3">
      <c r="A52" s="19" t="s">
        <v>122</v>
      </c>
      <c r="B52" s="20" t="s">
        <v>123</v>
      </c>
      <c r="C52" s="15" t="s">
        <v>124</v>
      </c>
      <c r="D52" s="17">
        <v>3751.92</v>
      </c>
      <c r="E52" s="56">
        <f t="shared" si="0"/>
        <v>3751.92</v>
      </c>
      <c r="F52" s="17">
        <v>1.91</v>
      </c>
      <c r="G52" s="18">
        <f>ROUND(E52*F52,2)</f>
        <v>7166.17</v>
      </c>
      <c r="ZZ52" t="s">
        <v>12</v>
      </c>
      <c r="AAA52" s="12" t="s">
        <v>125</v>
      </c>
    </row>
    <row r="53" spans="1:703" x14ac:dyDescent="0.3">
      <c r="A53" s="19" t="s">
        <v>126</v>
      </c>
      <c r="B53" s="20" t="s">
        <v>127</v>
      </c>
      <c r="C53" s="15" t="s">
        <v>124</v>
      </c>
      <c r="D53" s="17">
        <v>784.1</v>
      </c>
      <c r="E53" s="56">
        <f t="shared" si="0"/>
        <v>784.1</v>
      </c>
      <c r="F53" s="17">
        <v>2.4300000000000002</v>
      </c>
      <c r="G53" s="18">
        <f>ROUND(E53*F53,2)</f>
        <v>1905.36</v>
      </c>
      <c r="ZZ53" t="s">
        <v>12</v>
      </c>
      <c r="AAA53" s="12" t="s">
        <v>128</v>
      </c>
    </row>
    <row r="54" spans="1:703" x14ac:dyDescent="0.3">
      <c r="A54" s="19" t="s">
        <v>129</v>
      </c>
      <c r="B54" s="20" t="s">
        <v>130</v>
      </c>
      <c r="C54" s="15" t="s">
        <v>42</v>
      </c>
      <c r="D54" s="27">
        <v>95.981999999999999</v>
      </c>
      <c r="E54" s="56">
        <f t="shared" si="0"/>
        <v>95.981999999999999</v>
      </c>
      <c r="F54" s="17">
        <v>192.88</v>
      </c>
      <c r="G54" s="18">
        <f>ROUND(E54*F54,2)</f>
        <v>18513.009999999998</v>
      </c>
      <c r="ZZ54" t="s">
        <v>12</v>
      </c>
      <c r="AAA54" s="12" t="s">
        <v>131</v>
      </c>
    </row>
    <row r="55" spans="1:703" x14ac:dyDescent="0.3">
      <c r="A55" s="28" t="s">
        <v>132</v>
      </c>
      <c r="B55" s="29" t="s">
        <v>133</v>
      </c>
      <c r="C55" s="10"/>
      <c r="D55" s="10"/>
      <c r="E55" s="56"/>
      <c r="F55" s="10"/>
      <c r="G55" s="11"/>
      <c r="ZZ55" t="s">
        <v>39</v>
      </c>
      <c r="AAA55" s="12"/>
    </row>
    <row r="56" spans="1:703" x14ac:dyDescent="0.3">
      <c r="A56" s="19" t="s">
        <v>134</v>
      </c>
      <c r="B56" s="20" t="s">
        <v>135</v>
      </c>
      <c r="C56" s="15" t="s">
        <v>26</v>
      </c>
      <c r="D56" s="24">
        <v>48.4</v>
      </c>
      <c r="E56" s="56">
        <f t="shared" si="0"/>
        <v>48.4</v>
      </c>
      <c r="F56" s="17">
        <v>20.46</v>
      </c>
      <c r="G56" s="18">
        <f>ROUND(E56*F56,2)</f>
        <v>990.26</v>
      </c>
      <c r="ZZ56" t="s">
        <v>12</v>
      </c>
      <c r="AAA56" s="12" t="s">
        <v>136</v>
      </c>
    </row>
    <row r="57" spans="1:703" x14ac:dyDescent="0.3">
      <c r="A57" s="28" t="s">
        <v>137</v>
      </c>
      <c r="B57" s="29" t="s">
        <v>138</v>
      </c>
      <c r="C57" s="10"/>
      <c r="D57" s="10"/>
      <c r="E57" s="56"/>
      <c r="F57" s="10"/>
      <c r="G57" s="11"/>
      <c r="ZZ57" t="s">
        <v>39</v>
      </c>
      <c r="AAA57" s="12"/>
    </row>
    <row r="58" spans="1:703" x14ac:dyDescent="0.3">
      <c r="A58" s="30" t="s">
        <v>139</v>
      </c>
      <c r="B58" s="31" t="s">
        <v>140</v>
      </c>
      <c r="C58" s="10"/>
      <c r="D58" s="10"/>
      <c r="E58" s="56"/>
      <c r="F58" s="10"/>
      <c r="G58" s="11"/>
      <c r="ZZ58" t="s">
        <v>141</v>
      </c>
      <c r="AAA58" s="12"/>
    </row>
    <row r="59" spans="1:703" x14ac:dyDescent="0.3">
      <c r="A59" s="19" t="s">
        <v>142</v>
      </c>
      <c r="B59" s="20" t="s">
        <v>143</v>
      </c>
      <c r="C59" s="15" t="s">
        <v>26</v>
      </c>
      <c r="D59" s="24">
        <v>27.6</v>
      </c>
      <c r="E59" s="56">
        <f t="shared" si="0"/>
        <v>27.6</v>
      </c>
      <c r="F59" s="17">
        <v>24.8</v>
      </c>
      <c r="G59" s="18">
        <f>ROUND(E59*F59,2)</f>
        <v>684.48</v>
      </c>
      <c r="ZZ59" t="s">
        <v>12</v>
      </c>
      <c r="AAA59" s="12" t="s">
        <v>144</v>
      </c>
    </row>
    <row r="60" spans="1:703" x14ac:dyDescent="0.3">
      <c r="A60" s="30" t="s">
        <v>145</v>
      </c>
      <c r="B60" s="31" t="s">
        <v>146</v>
      </c>
      <c r="C60" s="10"/>
      <c r="D60" s="10"/>
      <c r="E60" s="56"/>
      <c r="F60" s="10"/>
      <c r="G60" s="11"/>
      <c r="ZZ60" t="s">
        <v>141</v>
      </c>
      <c r="AAA60" s="12"/>
    </row>
    <row r="61" spans="1:703" x14ac:dyDescent="0.3">
      <c r="A61" s="19" t="s">
        <v>147</v>
      </c>
      <c r="B61" s="20" t="s">
        <v>148</v>
      </c>
      <c r="C61" s="15" t="s">
        <v>26</v>
      </c>
      <c r="D61" s="24">
        <v>98.8</v>
      </c>
      <c r="E61" s="56">
        <f t="shared" si="0"/>
        <v>98.8</v>
      </c>
      <c r="F61" s="17">
        <v>24.8</v>
      </c>
      <c r="G61" s="18">
        <f>ROUND(E61*F61,2)</f>
        <v>2450.2399999999998</v>
      </c>
      <c r="ZZ61" t="s">
        <v>12</v>
      </c>
      <c r="AAA61" s="12" t="s">
        <v>149</v>
      </c>
    </row>
    <row r="62" spans="1:703" x14ac:dyDescent="0.3">
      <c r="A62" s="30" t="s">
        <v>150</v>
      </c>
      <c r="B62" s="31" t="s">
        <v>151</v>
      </c>
      <c r="C62" s="10"/>
      <c r="D62" s="10"/>
      <c r="E62" s="56"/>
      <c r="F62" s="10"/>
      <c r="G62" s="11"/>
      <c r="ZZ62" t="s">
        <v>141</v>
      </c>
      <c r="AAA62" s="12"/>
    </row>
    <row r="63" spans="1:703" ht="26.4" x14ac:dyDescent="0.3">
      <c r="A63" s="19" t="s">
        <v>152</v>
      </c>
      <c r="B63" s="20" t="s">
        <v>153</v>
      </c>
      <c r="C63" s="15" t="s">
        <v>26</v>
      </c>
      <c r="D63" s="24">
        <v>11.1</v>
      </c>
      <c r="E63" s="56">
        <f t="shared" si="0"/>
        <v>11.1</v>
      </c>
      <c r="F63" s="17">
        <v>24.8</v>
      </c>
      <c r="G63" s="18">
        <f>ROUND(E63*F63,2)</f>
        <v>275.27999999999997</v>
      </c>
      <c r="ZZ63" t="s">
        <v>12</v>
      </c>
      <c r="AAA63" s="12" t="s">
        <v>154</v>
      </c>
    </row>
    <row r="64" spans="1:703" x14ac:dyDescent="0.3">
      <c r="A64" s="30" t="s">
        <v>155</v>
      </c>
      <c r="B64" s="31" t="s">
        <v>156</v>
      </c>
      <c r="C64" s="10"/>
      <c r="D64" s="10"/>
      <c r="E64" s="56"/>
      <c r="F64" s="10"/>
      <c r="G64" s="11"/>
      <c r="ZZ64" t="s">
        <v>141</v>
      </c>
      <c r="AAA64" s="12"/>
    </row>
    <row r="65" spans="1:703" x14ac:dyDescent="0.3">
      <c r="A65" s="19" t="s">
        <v>157</v>
      </c>
      <c r="B65" s="20" t="s">
        <v>158</v>
      </c>
      <c r="C65" s="15" t="s">
        <v>26</v>
      </c>
      <c r="D65" s="24">
        <v>10</v>
      </c>
      <c r="E65" s="56">
        <f t="shared" si="0"/>
        <v>10</v>
      </c>
      <c r="F65" s="17">
        <v>30.68</v>
      </c>
      <c r="G65" s="18">
        <f>ROUND(E65*F65,2)</f>
        <v>306.8</v>
      </c>
      <c r="ZZ65" t="s">
        <v>12</v>
      </c>
      <c r="AAA65" s="12" t="s">
        <v>159</v>
      </c>
    </row>
    <row r="66" spans="1:703" x14ac:dyDescent="0.3">
      <c r="A66" s="30" t="s">
        <v>160</v>
      </c>
      <c r="B66" s="31" t="s">
        <v>161</v>
      </c>
      <c r="C66" s="10"/>
      <c r="D66" s="10"/>
      <c r="E66" s="56"/>
      <c r="F66" s="10"/>
      <c r="G66" s="11"/>
      <c r="ZZ66" t="s">
        <v>141</v>
      </c>
      <c r="AAA66" s="12"/>
    </row>
    <row r="67" spans="1:703" ht="26.4" x14ac:dyDescent="0.3">
      <c r="A67" s="19" t="s">
        <v>162</v>
      </c>
      <c r="B67" s="20" t="s">
        <v>163</v>
      </c>
      <c r="C67" s="15" t="s">
        <v>26</v>
      </c>
      <c r="D67" s="24">
        <v>12</v>
      </c>
      <c r="E67" s="56">
        <f t="shared" si="0"/>
        <v>12</v>
      </c>
      <c r="F67" s="17">
        <v>33.450000000000003</v>
      </c>
      <c r="G67" s="18">
        <f>ROUND(E67*F67,2)</f>
        <v>401.4</v>
      </c>
      <c r="ZZ67" t="s">
        <v>12</v>
      </c>
      <c r="AAA67" s="12" t="s">
        <v>164</v>
      </c>
    </row>
    <row r="68" spans="1:703" ht="26.4" x14ac:dyDescent="0.3">
      <c r="A68" s="19" t="s">
        <v>165</v>
      </c>
      <c r="B68" s="20" t="s">
        <v>166</v>
      </c>
      <c r="C68" s="15" t="s">
        <v>26</v>
      </c>
      <c r="D68" s="24">
        <v>149</v>
      </c>
      <c r="E68" s="56">
        <f t="shared" si="0"/>
        <v>149</v>
      </c>
      <c r="F68" s="17">
        <v>33.450000000000003</v>
      </c>
      <c r="G68" s="18">
        <f>ROUND(E68*F68,2)</f>
        <v>4984.05</v>
      </c>
      <c r="ZZ68" t="s">
        <v>12</v>
      </c>
      <c r="AAA68" s="12" t="s">
        <v>167</v>
      </c>
    </row>
    <row r="69" spans="1:703" x14ac:dyDescent="0.3">
      <c r="A69" s="30" t="s">
        <v>168</v>
      </c>
      <c r="B69" s="31" t="s">
        <v>169</v>
      </c>
      <c r="C69" s="10"/>
      <c r="D69" s="10"/>
      <c r="E69" s="56"/>
      <c r="F69" s="10"/>
      <c r="G69" s="11"/>
      <c r="ZZ69" t="s">
        <v>141</v>
      </c>
      <c r="AAA69" s="12"/>
    </row>
    <row r="70" spans="1:703" ht="26.4" x14ac:dyDescent="0.3">
      <c r="A70" s="19" t="s">
        <v>170</v>
      </c>
      <c r="B70" s="20" t="s">
        <v>171</v>
      </c>
      <c r="C70" s="15" t="s">
        <v>1</v>
      </c>
      <c r="D70" s="16">
        <v>2</v>
      </c>
      <c r="E70" s="56">
        <f t="shared" ref="E70:E133" si="1">D70</f>
        <v>2</v>
      </c>
      <c r="F70" s="17">
        <v>234.3</v>
      </c>
      <c r="G70" s="18">
        <f>ROUND(E70*F70,2)</f>
        <v>468.6</v>
      </c>
      <c r="ZZ70" t="s">
        <v>12</v>
      </c>
      <c r="AAA70" s="12" t="s">
        <v>172</v>
      </c>
    </row>
    <row r="71" spans="1:703" ht="26.4" x14ac:dyDescent="0.3">
      <c r="A71" s="19" t="s">
        <v>173</v>
      </c>
      <c r="B71" s="20" t="s">
        <v>174</v>
      </c>
      <c r="C71" s="15" t="s">
        <v>1</v>
      </c>
      <c r="D71" s="16">
        <v>1</v>
      </c>
      <c r="E71" s="56">
        <f t="shared" si="1"/>
        <v>1</v>
      </c>
      <c r="F71" s="17">
        <v>385.44</v>
      </c>
      <c r="G71" s="18">
        <f>ROUND(E71*F71,2)</f>
        <v>385.44</v>
      </c>
      <c r="ZZ71" t="s">
        <v>12</v>
      </c>
      <c r="AAA71" s="12" t="s">
        <v>175</v>
      </c>
    </row>
    <row r="72" spans="1:703" x14ac:dyDescent="0.3">
      <c r="A72" s="21"/>
      <c r="B72" s="22"/>
      <c r="C72" s="10"/>
      <c r="D72" s="10"/>
      <c r="E72" s="56"/>
      <c r="F72" s="10"/>
      <c r="G72" s="23"/>
    </row>
    <row r="73" spans="1:703" ht="26.4" x14ac:dyDescent="0.3">
      <c r="A73" s="54"/>
      <c r="B73" s="32" t="s">
        <v>176</v>
      </c>
      <c r="C73" s="33"/>
      <c r="D73" s="33"/>
      <c r="E73" s="33"/>
      <c r="F73" s="33"/>
      <c r="G73" s="34">
        <f>SUBTOTAL(109,G46:G72)</f>
        <v>49385.210000000014</v>
      </c>
      <c r="H73" s="35"/>
      <c r="ZZ73" t="s">
        <v>18</v>
      </c>
    </row>
    <row r="74" spans="1:703" x14ac:dyDescent="0.3">
      <c r="A74" s="1"/>
      <c r="B74" s="6"/>
      <c r="C74" s="10"/>
      <c r="D74" s="10"/>
      <c r="E74" s="56"/>
      <c r="F74" s="10"/>
      <c r="G74" s="8"/>
    </row>
    <row r="75" spans="1:703" x14ac:dyDescent="0.3">
      <c r="A75" s="53" t="s">
        <v>177</v>
      </c>
      <c r="B75" s="9" t="s">
        <v>178</v>
      </c>
      <c r="C75" s="10"/>
      <c r="D75" s="10"/>
      <c r="E75" s="56"/>
      <c r="F75" s="10"/>
      <c r="G75" s="11"/>
      <c r="ZZ75" t="s">
        <v>8</v>
      </c>
      <c r="AAA75" s="12"/>
    </row>
    <row r="76" spans="1:703" ht="26.4" x14ac:dyDescent="0.3">
      <c r="A76" s="25" t="s">
        <v>179</v>
      </c>
      <c r="B76" s="26" t="s">
        <v>180</v>
      </c>
      <c r="C76" s="10"/>
      <c r="D76" s="10"/>
      <c r="E76" s="56"/>
      <c r="F76" s="10"/>
      <c r="G76" s="11"/>
      <c r="ZZ76" t="s">
        <v>39</v>
      </c>
      <c r="AAA76" s="12"/>
    </row>
    <row r="77" spans="1:703" x14ac:dyDescent="0.3">
      <c r="A77" s="19" t="s">
        <v>181</v>
      </c>
      <c r="B77" s="20" t="s">
        <v>182</v>
      </c>
      <c r="C77" s="15" t="s">
        <v>57</v>
      </c>
      <c r="D77" s="17">
        <v>480.45</v>
      </c>
      <c r="E77" s="56">
        <f t="shared" si="1"/>
        <v>480.45</v>
      </c>
      <c r="F77" s="17">
        <v>32.74</v>
      </c>
      <c r="G77" s="18">
        <f>ROUND(E77*F77,2)</f>
        <v>15729.93</v>
      </c>
      <c r="ZZ77" t="s">
        <v>12</v>
      </c>
      <c r="AAA77" s="12" t="s">
        <v>183</v>
      </c>
    </row>
    <row r="78" spans="1:703" x14ac:dyDescent="0.3">
      <c r="A78" s="19" t="s">
        <v>184</v>
      </c>
      <c r="B78" s="20" t="s">
        <v>123</v>
      </c>
      <c r="C78" s="15" t="s">
        <v>124</v>
      </c>
      <c r="D78" s="17">
        <v>2398.89</v>
      </c>
      <c r="E78" s="56">
        <f t="shared" si="1"/>
        <v>2398.89</v>
      </c>
      <c r="F78" s="17">
        <v>1.91</v>
      </c>
      <c r="G78" s="18">
        <f>ROUND(E78*F78,2)</f>
        <v>4581.88</v>
      </c>
      <c r="ZZ78" t="s">
        <v>12</v>
      </c>
      <c r="AAA78" s="12" t="s">
        <v>185</v>
      </c>
    </row>
    <row r="79" spans="1:703" x14ac:dyDescent="0.3">
      <c r="A79" s="19" t="s">
        <v>186</v>
      </c>
      <c r="B79" s="20" t="s">
        <v>127</v>
      </c>
      <c r="C79" s="15" t="s">
        <v>124</v>
      </c>
      <c r="D79" s="17">
        <v>959.53</v>
      </c>
      <c r="E79" s="56">
        <f t="shared" si="1"/>
        <v>959.53</v>
      </c>
      <c r="F79" s="17">
        <v>2.4300000000000002</v>
      </c>
      <c r="G79" s="18">
        <f>ROUND(E79*F79,2)</f>
        <v>2331.66</v>
      </c>
      <c r="ZZ79" t="s">
        <v>12</v>
      </c>
      <c r="AAA79" s="12" t="s">
        <v>187</v>
      </c>
    </row>
    <row r="80" spans="1:703" ht="26.4" x14ac:dyDescent="0.3">
      <c r="A80" s="19" t="s">
        <v>188</v>
      </c>
      <c r="B80" s="20" t="s">
        <v>189</v>
      </c>
      <c r="C80" s="15" t="s">
        <v>42</v>
      </c>
      <c r="D80" s="27">
        <v>46.247999999999998</v>
      </c>
      <c r="E80" s="56">
        <f t="shared" si="1"/>
        <v>46.247999999999998</v>
      </c>
      <c r="F80" s="17">
        <v>191.43</v>
      </c>
      <c r="G80" s="18">
        <f>ROUND(E80*F80,2)</f>
        <v>8853.25</v>
      </c>
      <c r="ZZ80" t="s">
        <v>12</v>
      </c>
      <c r="AAA80" s="12" t="s">
        <v>190</v>
      </c>
    </row>
    <row r="81" spans="1:703" x14ac:dyDescent="0.3">
      <c r="A81" s="28" t="s">
        <v>191</v>
      </c>
      <c r="B81" s="29" t="s">
        <v>192</v>
      </c>
      <c r="C81" s="10"/>
      <c r="D81" s="10"/>
      <c r="E81" s="56"/>
      <c r="F81" s="10"/>
      <c r="G81" s="11"/>
      <c r="ZZ81" t="s">
        <v>39</v>
      </c>
      <c r="AAA81" s="12"/>
    </row>
    <row r="82" spans="1:703" x14ac:dyDescent="0.3">
      <c r="A82" s="19" t="s">
        <v>193</v>
      </c>
      <c r="B82" s="20" t="s">
        <v>194</v>
      </c>
      <c r="C82" s="15" t="s">
        <v>57</v>
      </c>
      <c r="D82" s="17">
        <v>71.489999999999995</v>
      </c>
      <c r="E82" s="56">
        <f t="shared" si="1"/>
        <v>71.489999999999995</v>
      </c>
      <c r="F82" s="17">
        <v>137.31</v>
      </c>
      <c r="G82" s="18">
        <f>ROUND(E82*F82,2)</f>
        <v>9816.2900000000009</v>
      </c>
      <c r="ZZ82" t="s">
        <v>12</v>
      </c>
      <c r="AAA82" s="12" t="s">
        <v>195</v>
      </c>
    </row>
    <row r="83" spans="1:703" x14ac:dyDescent="0.3">
      <c r="A83" s="28" t="s">
        <v>196</v>
      </c>
      <c r="B83" s="29" t="s">
        <v>197</v>
      </c>
      <c r="C83" s="10"/>
      <c r="D83" s="10"/>
      <c r="E83" s="56"/>
      <c r="F83" s="10"/>
      <c r="G83" s="11"/>
      <c r="ZZ83" t="s">
        <v>39</v>
      </c>
      <c r="AAA83" s="12"/>
    </row>
    <row r="84" spans="1:703" x14ac:dyDescent="0.3">
      <c r="A84" s="19" t="s">
        <v>198</v>
      </c>
      <c r="B84" s="20" t="s">
        <v>182</v>
      </c>
      <c r="C84" s="15" t="s">
        <v>57</v>
      </c>
      <c r="D84" s="17">
        <v>145.58000000000001</v>
      </c>
      <c r="E84" s="56">
        <f t="shared" si="1"/>
        <v>145.58000000000001</v>
      </c>
      <c r="F84" s="17">
        <v>28.64</v>
      </c>
      <c r="G84" s="18">
        <f>ROUND(E84*F84,2)</f>
        <v>4169.41</v>
      </c>
      <c r="ZZ84" t="s">
        <v>12</v>
      </c>
      <c r="AAA84" s="12" t="s">
        <v>199</v>
      </c>
    </row>
    <row r="85" spans="1:703" x14ac:dyDescent="0.3">
      <c r="A85" s="19" t="s">
        <v>200</v>
      </c>
      <c r="B85" s="20" t="s">
        <v>123</v>
      </c>
      <c r="C85" s="15" t="s">
        <v>124</v>
      </c>
      <c r="D85" s="17">
        <v>436.57</v>
      </c>
      <c r="E85" s="56">
        <f t="shared" si="1"/>
        <v>436.57</v>
      </c>
      <c r="F85" s="17">
        <v>1.91</v>
      </c>
      <c r="G85" s="18">
        <f>ROUND(E85*F85,2)</f>
        <v>833.85</v>
      </c>
      <c r="ZZ85" t="s">
        <v>12</v>
      </c>
      <c r="AAA85" s="12" t="s">
        <v>201</v>
      </c>
    </row>
    <row r="86" spans="1:703" x14ac:dyDescent="0.3">
      <c r="A86" s="19" t="s">
        <v>202</v>
      </c>
      <c r="B86" s="20" t="s">
        <v>127</v>
      </c>
      <c r="C86" s="15" t="s">
        <v>124</v>
      </c>
      <c r="D86" s="17">
        <v>291.02999999999997</v>
      </c>
      <c r="E86" s="56">
        <f t="shared" si="1"/>
        <v>291.02999999999997</v>
      </c>
      <c r="F86" s="17">
        <v>2.4300000000000002</v>
      </c>
      <c r="G86" s="18">
        <f>ROUND(E86*F86,2)</f>
        <v>707.2</v>
      </c>
      <c r="ZZ86" t="s">
        <v>12</v>
      </c>
      <c r="AAA86" s="12" t="s">
        <v>203</v>
      </c>
    </row>
    <row r="87" spans="1:703" ht="26.4" x14ac:dyDescent="0.3">
      <c r="A87" s="19" t="s">
        <v>204</v>
      </c>
      <c r="B87" s="20" t="s">
        <v>205</v>
      </c>
      <c r="C87" s="15" t="s">
        <v>42</v>
      </c>
      <c r="D87" s="27">
        <v>14.335000000000001</v>
      </c>
      <c r="E87" s="56">
        <f t="shared" si="1"/>
        <v>14.335000000000001</v>
      </c>
      <c r="F87" s="17">
        <v>184.7</v>
      </c>
      <c r="G87" s="18">
        <f>ROUND(E87*F87,2)</f>
        <v>2647.67</v>
      </c>
      <c r="ZZ87" t="s">
        <v>12</v>
      </c>
      <c r="AAA87" s="12" t="s">
        <v>206</v>
      </c>
    </row>
    <row r="88" spans="1:703" x14ac:dyDescent="0.3">
      <c r="A88" s="28" t="s">
        <v>207</v>
      </c>
      <c r="B88" s="29" t="s">
        <v>208</v>
      </c>
      <c r="C88" s="10"/>
      <c r="D88" s="10"/>
      <c r="E88" s="56"/>
      <c r="F88" s="10"/>
      <c r="G88" s="11"/>
      <c r="ZZ88" t="s">
        <v>39</v>
      </c>
      <c r="AAA88" s="12"/>
    </row>
    <row r="89" spans="1:703" x14ac:dyDescent="0.3">
      <c r="A89" s="19" t="s">
        <v>209</v>
      </c>
      <c r="B89" s="20" t="s">
        <v>182</v>
      </c>
      <c r="C89" s="15" t="s">
        <v>57</v>
      </c>
      <c r="D89" s="17">
        <v>6.36</v>
      </c>
      <c r="E89" s="56">
        <f t="shared" si="1"/>
        <v>6.36</v>
      </c>
      <c r="F89" s="17">
        <v>45.01</v>
      </c>
      <c r="G89" s="18">
        <f>ROUND(E89*F89,2)</f>
        <v>286.26</v>
      </c>
      <c r="ZZ89" t="s">
        <v>12</v>
      </c>
      <c r="AAA89" s="12" t="s">
        <v>210</v>
      </c>
    </row>
    <row r="90" spans="1:703" x14ac:dyDescent="0.3">
      <c r="A90" s="19" t="s">
        <v>211</v>
      </c>
      <c r="B90" s="20" t="s">
        <v>127</v>
      </c>
      <c r="C90" s="15" t="s">
        <v>124</v>
      </c>
      <c r="D90" s="17">
        <v>239.72</v>
      </c>
      <c r="E90" s="56">
        <f t="shared" si="1"/>
        <v>239.72</v>
      </c>
      <c r="F90" s="17">
        <v>2.4300000000000002</v>
      </c>
      <c r="G90" s="18">
        <f>ROUND(E90*F90,2)</f>
        <v>582.52</v>
      </c>
      <c r="ZZ90" t="s">
        <v>12</v>
      </c>
      <c r="AAA90" s="12" t="s">
        <v>212</v>
      </c>
    </row>
    <row r="91" spans="1:703" x14ac:dyDescent="0.3">
      <c r="A91" s="19" t="s">
        <v>213</v>
      </c>
      <c r="B91" s="20" t="s">
        <v>214</v>
      </c>
      <c r="C91" s="15" t="s">
        <v>42</v>
      </c>
      <c r="D91" s="27">
        <v>0.50900000000000001</v>
      </c>
      <c r="E91" s="57">
        <f t="shared" si="1"/>
        <v>0.50900000000000001</v>
      </c>
      <c r="F91" s="17">
        <v>180.61</v>
      </c>
      <c r="G91" s="18">
        <f>ROUND(E91*F91,2)</f>
        <v>91.93</v>
      </c>
      <c r="ZZ91" t="s">
        <v>12</v>
      </c>
      <c r="AAA91" s="12" t="s">
        <v>215</v>
      </c>
    </row>
    <row r="92" spans="1:703" x14ac:dyDescent="0.3">
      <c r="A92" s="28" t="s">
        <v>216</v>
      </c>
      <c r="B92" s="29" t="s">
        <v>217</v>
      </c>
      <c r="C92" s="10"/>
      <c r="D92" s="10"/>
      <c r="E92" s="56"/>
      <c r="F92" s="10"/>
      <c r="G92" s="11"/>
      <c r="ZZ92" t="s">
        <v>39</v>
      </c>
      <c r="AAA92" s="12"/>
    </row>
    <row r="93" spans="1:703" x14ac:dyDescent="0.3">
      <c r="A93" s="19" t="s">
        <v>218</v>
      </c>
      <c r="B93" s="20" t="s">
        <v>182</v>
      </c>
      <c r="C93" s="15" t="s">
        <v>57</v>
      </c>
      <c r="D93" s="17">
        <v>45.85</v>
      </c>
      <c r="E93" s="56">
        <f t="shared" si="1"/>
        <v>45.85</v>
      </c>
      <c r="F93" s="17">
        <v>45.01</v>
      </c>
      <c r="G93" s="18">
        <f>ROUND(E93*F93,2)</f>
        <v>2063.71</v>
      </c>
      <c r="ZZ93" t="s">
        <v>12</v>
      </c>
      <c r="AAA93" s="12" t="s">
        <v>219</v>
      </c>
    </row>
    <row r="94" spans="1:703" x14ac:dyDescent="0.3">
      <c r="A94" s="19" t="s">
        <v>220</v>
      </c>
      <c r="B94" s="20" t="s">
        <v>127</v>
      </c>
      <c r="C94" s="15" t="s">
        <v>124</v>
      </c>
      <c r="D94" s="17">
        <v>1632.78</v>
      </c>
      <c r="E94" s="56">
        <f t="shared" si="1"/>
        <v>1632.78</v>
      </c>
      <c r="F94" s="17">
        <v>2.4300000000000002</v>
      </c>
      <c r="G94" s="18">
        <f>ROUND(E94*F94,2)</f>
        <v>3967.66</v>
      </c>
      <c r="ZZ94" t="s">
        <v>12</v>
      </c>
      <c r="AAA94" s="12" t="s">
        <v>221</v>
      </c>
    </row>
    <row r="95" spans="1:703" x14ac:dyDescent="0.3">
      <c r="A95" s="19" t="s">
        <v>222</v>
      </c>
      <c r="B95" s="20" t="s">
        <v>223</v>
      </c>
      <c r="C95" s="15" t="s">
        <v>42</v>
      </c>
      <c r="D95" s="27">
        <v>6.7270000000000003</v>
      </c>
      <c r="E95" s="57">
        <f t="shared" si="1"/>
        <v>6.7270000000000003</v>
      </c>
      <c r="F95" s="17">
        <v>180.61</v>
      </c>
      <c r="G95" s="18">
        <f>ROUND(E95*F95,2)</f>
        <v>1214.96</v>
      </c>
      <c r="ZZ95" t="s">
        <v>12</v>
      </c>
      <c r="AAA95" s="12" t="s">
        <v>224</v>
      </c>
    </row>
    <row r="96" spans="1:703" ht="26.4" x14ac:dyDescent="0.3">
      <c r="A96" s="28" t="s">
        <v>225</v>
      </c>
      <c r="B96" s="29" t="s">
        <v>226</v>
      </c>
      <c r="C96" s="10"/>
      <c r="D96" s="10"/>
      <c r="E96" s="56"/>
      <c r="F96" s="10"/>
      <c r="G96" s="11"/>
      <c r="ZZ96" t="s">
        <v>39</v>
      </c>
      <c r="AAA96" s="12"/>
    </row>
    <row r="97" spans="1:703" x14ac:dyDescent="0.3">
      <c r="A97" s="19" t="s">
        <v>227</v>
      </c>
      <c r="B97" s="20" t="s">
        <v>182</v>
      </c>
      <c r="C97" s="15" t="s">
        <v>57</v>
      </c>
      <c r="D97" s="17">
        <v>186.47</v>
      </c>
      <c r="E97" s="56">
        <f t="shared" si="1"/>
        <v>186.47</v>
      </c>
      <c r="F97" s="17">
        <v>32.74</v>
      </c>
      <c r="G97" s="18">
        <f>ROUND(E97*F97,2)</f>
        <v>6105.03</v>
      </c>
      <c r="ZZ97" t="s">
        <v>12</v>
      </c>
      <c r="AAA97" s="12" t="s">
        <v>228</v>
      </c>
    </row>
    <row r="98" spans="1:703" x14ac:dyDescent="0.3">
      <c r="A98" s="19" t="s">
        <v>229</v>
      </c>
      <c r="B98" s="20" t="s">
        <v>123</v>
      </c>
      <c r="C98" s="15" t="s">
        <v>124</v>
      </c>
      <c r="D98" s="17">
        <v>1976.82</v>
      </c>
      <c r="E98" s="56">
        <f t="shared" si="1"/>
        <v>1976.82</v>
      </c>
      <c r="F98" s="17">
        <v>1.91</v>
      </c>
      <c r="G98" s="18">
        <f>ROUND(E98*F98,2)</f>
        <v>3775.73</v>
      </c>
      <c r="ZZ98" t="s">
        <v>12</v>
      </c>
      <c r="AAA98" s="12" t="s">
        <v>230</v>
      </c>
    </row>
    <row r="99" spans="1:703" x14ac:dyDescent="0.3">
      <c r="A99" s="19" t="s">
        <v>231</v>
      </c>
      <c r="B99" s="20" t="s">
        <v>127</v>
      </c>
      <c r="C99" s="15" t="s">
        <v>124</v>
      </c>
      <c r="D99" s="17">
        <v>439.3</v>
      </c>
      <c r="E99" s="56">
        <f t="shared" si="1"/>
        <v>439.3</v>
      </c>
      <c r="F99" s="17">
        <v>2.4300000000000002</v>
      </c>
      <c r="G99" s="18">
        <f>ROUND(E99*F99,2)</f>
        <v>1067.5</v>
      </c>
      <c r="ZZ99" t="s">
        <v>12</v>
      </c>
      <c r="AAA99" s="12" t="s">
        <v>232</v>
      </c>
    </row>
    <row r="100" spans="1:703" x14ac:dyDescent="0.3">
      <c r="A100" s="19" t="s">
        <v>233</v>
      </c>
      <c r="B100" s="20" t="s">
        <v>234</v>
      </c>
      <c r="C100" s="15" t="s">
        <v>42</v>
      </c>
      <c r="D100" s="27">
        <v>50.518999999999998</v>
      </c>
      <c r="E100" s="57">
        <f t="shared" si="1"/>
        <v>50.518999999999998</v>
      </c>
      <c r="F100" s="17">
        <v>180.61</v>
      </c>
      <c r="G100" s="18">
        <f>ROUND(E100*F100,2)</f>
        <v>9124.24</v>
      </c>
      <c r="ZZ100" t="s">
        <v>12</v>
      </c>
      <c r="AAA100" s="12" t="s">
        <v>235</v>
      </c>
    </row>
    <row r="101" spans="1:703" x14ac:dyDescent="0.3">
      <c r="A101" s="28" t="s">
        <v>236</v>
      </c>
      <c r="B101" s="29" t="s">
        <v>237</v>
      </c>
      <c r="C101" s="10"/>
      <c r="D101" s="10"/>
      <c r="E101" s="56"/>
      <c r="F101" s="10"/>
      <c r="G101" s="11"/>
      <c r="ZZ101" t="s">
        <v>39</v>
      </c>
      <c r="AAA101" s="12"/>
    </row>
    <row r="102" spans="1:703" x14ac:dyDescent="0.3">
      <c r="A102" s="30" t="s">
        <v>238</v>
      </c>
      <c r="B102" s="31" t="s">
        <v>239</v>
      </c>
      <c r="C102" s="10"/>
      <c r="D102" s="10"/>
      <c r="E102" s="56"/>
      <c r="F102" s="10"/>
      <c r="G102" s="11"/>
      <c r="ZZ102" t="s">
        <v>141</v>
      </c>
      <c r="AAA102" s="12"/>
    </row>
    <row r="103" spans="1:703" x14ac:dyDescent="0.3">
      <c r="A103" s="19" t="s">
        <v>240</v>
      </c>
      <c r="B103" s="20" t="s">
        <v>241</v>
      </c>
      <c r="C103" s="15" t="s">
        <v>57</v>
      </c>
      <c r="D103" s="17">
        <v>12.13</v>
      </c>
      <c r="E103" s="56">
        <f t="shared" si="1"/>
        <v>12.13</v>
      </c>
      <c r="F103" s="17">
        <v>52.14</v>
      </c>
      <c r="G103" s="18">
        <f>ROUND(E103*F103,2)</f>
        <v>632.46</v>
      </c>
      <c r="ZZ103" t="s">
        <v>12</v>
      </c>
      <c r="AAA103" s="12" t="s">
        <v>242</v>
      </c>
    </row>
    <row r="104" spans="1:703" ht="26.4" x14ac:dyDescent="0.3">
      <c r="A104" s="19" t="s">
        <v>243</v>
      </c>
      <c r="B104" s="20" t="s">
        <v>244</v>
      </c>
      <c r="C104" s="15" t="s">
        <v>57</v>
      </c>
      <c r="D104" s="17">
        <v>76.900000000000006</v>
      </c>
      <c r="E104" s="56">
        <f t="shared" si="1"/>
        <v>76.900000000000006</v>
      </c>
      <c r="F104" s="17">
        <v>52.14</v>
      </c>
      <c r="G104" s="18">
        <f>ROUND(E104*F104,2)</f>
        <v>4009.57</v>
      </c>
      <c r="ZZ104" t="s">
        <v>12</v>
      </c>
      <c r="AAA104" s="12" t="s">
        <v>245</v>
      </c>
    </row>
    <row r="105" spans="1:703" x14ac:dyDescent="0.3">
      <c r="A105" s="30" t="s">
        <v>246</v>
      </c>
      <c r="B105" s="31" t="s">
        <v>247</v>
      </c>
      <c r="C105" s="10"/>
      <c r="D105" s="10"/>
      <c r="E105" s="56"/>
      <c r="F105" s="10"/>
      <c r="G105" s="11"/>
      <c r="ZZ105" t="s">
        <v>141</v>
      </c>
      <c r="AAA105" s="12"/>
    </row>
    <row r="106" spans="1:703" x14ac:dyDescent="0.3">
      <c r="A106" s="19" t="s">
        <v>248</v>
      </c>
      <c r="B106" s="20" t="s">
        <v>249</v>
      </c>
      <c r="C106" s="15" t="s">
        <v>57</v>
      </c>
      <c r="D106" s="17">
        <v>207.5</v>
      </c>
      <c r="E106" s="56">
        <f t="shared" si="1"/>
        <v>207.5</v>
      </c>
      <c r="F106" s="17">
        <v>30.36</v>
      </c>
      <c r="G106" s="18">
        <f>ROUND(E106*F106,2)</f>
        <v>6299.7</v>
      </c>
      <c r="ZZ106" t="s">
        <v>12</v>
      </c>
      <c r="AAA106" s="12" t="s">
        <v>250</v>
      </c>
    </row>
    <row r="107" spans="1:703" ht="26.4" x14ac:dyDescent="0.3">
      <c r="A107" s="30" t="s">
        <v>251</v>
      </c>
      <c r="B107" s="31" t="s">
        <v>252</v>
      </c>
      <c r="C107" s="10"/>
      <c r="D107" s="10"/>
      <c r="E107" s="56"/>
      <c r="F107" s="10"/>
      <c r="G107" s="11"/>
      <c r="ZZ107" t="s">
        <v>141</v>
      </c>
      <c r="AAA107" s="12"/>
    </row>
    <row r="108" spans="1:703" ht="26.4" x14ac:dyDescent="0.3">
      <c r="A108" s="19" t="s">
        <v>253</v>
      </c>
      <c r="B108" s="20" t="s">
        <v>254</v>
      </c>
      <c r="C108" s="15" t="s">
        <v>57</v>
      </c>
      <c r="D108" s="17">
        <v>207.5</v>
      </c>
      <c r="E108" s="56">
        <f t="shared" si="1"/>
        <v>207.5</v>
      </c>
      <c r="F108" s="17">
        <v>15.58</v>
      </c>
      <c r="G108" s="18">
        <f>ROUND(E108*F108,2)</f>
        <v>3232.85</v>
      </c>
      <c r="ZZ108" t="s">
        <v>12</v>
      </c>
      <c r="AAA108" s="12" t="s">
        <v>255</v>
      </c>
    </row>
    <row r="109" spans="1:703" x14ac:dyDescent="0.3">
      <c r="A109" s="19" t="s">
        <v>256</v>
      </c>
      <c r="B109" s="20" t="s">
        <v>257</v>
      </c>
      <c r="C109" s="15" t="s">
        <v>26</v>
      </c>
      <c r="D109" s="24">
        <v>123.6</v>
      </c>
      <c r="E109" s="56">
        <f t="shared" si="1"/>
        <v>123.6</v>
      </c>
      <c r="F109" s="17">
        <v>29.15</v>
      </c>
      <c r="G109" s="18">
        <f>ROUND(E109*F109,2)</f>
        <v>3602.94</v>
      </c>
      <c r="ZZ109" t="s">
        <v>12</v>
      </c>
      <c r="AAA109" s="12" t="s">
        <v>258</v>
      </c>
    </row>
    <row r="110" spans="1:703" x14ac:dyDescent="0.3">
      <c r="A110" s="30" t="s">
        <v>259</v>
      </c>
      <c r="B110" s="31" t="s">
        <v>260</v>
      </c>
      <c r="C110" s="10"/>
      <c r="D110" s="10"/>
      <c r="E110" s="56"/>
      <c r="F110" s="10"/>
      <c r="G110" s="11"/>
      <c r="ZZ110" t="s">
        <v>141</v>
      </c>
      <c r="AAA110" s="12"/>
    </row>
    <row r="111" spans="1:703" x14ac:dyDescent="0.3">
      <c r="A111" s="19" t="s">
        <v>261</v>
      </c>
      <c r="B111" s="20" t="s">
        <v>262</v>
      </c>
      <c r="C111" s="15" t="s">
        <v>26</v>
      </c>
      <c r="D111" s="24">
        <v>5.9</v>
      </c>
      <c r="E111" s="56">
        <f t="shared" si="1"/>
        <v>5.9</v>
      </c>
      <c r="F111" s="17">
        <v>227.3</v>
      </c>
      <c r="G111" s="18">
        <f>ROUND(E111*F111,2)</f>
        <v>1341.07</v>
      </c>
      <c r="ZZ111" t="s">
        <v>12</v>
      </c>
      <c r="AAA111" s="12" t="s">
        <v>263</v>
      </c>
    </row>
    <row r="112" spans="1:703" x14ac:dyDescent="0.3">
      <c r="A112" s="30" t="s">
        <v>264</v>
      </c>
      <c r="B112" s="31" t="s">
        <v>265</v>
      </c>
      <c r="C112" s="10"/>
      <c r="D112" s="10"/>
      <c r="E112" s="56"/>
      <c r="F112" s="10"/>
      <c r="G112" s="11"/>
      <c r="ZZ112" t="s">
        <v>141</v>
      </c>
      <c r="AAA112" s="12"/>
    </row>
    <row r="113" spans="1:703" ht="26.4" x14ac:dyDescent="0.3">
      <c r="A113" s="19" t="s">
        <v>266</v>
      </c>
      <c r="B113" s="20" t="s">
        <v>267</v>
      </c>
      <c r="C113" s="15" t="s">
        <v>1</v>
      </c>
      <c r="D113" s="16">
        <v>1</v>
      </c>
      <c r="E113" s="56">
        <f t="shared" si="1"/>
        <v>1</v>
      </c>
      <c r="F113" s="17">
        <v>683.76</v>
      </c>
      <c r="G113" s="18">
        <f>ROUND(E113*F113,2)</f>
        <v>683.76</v>
      </c>
      <c r="ZZ113" t="s">
        <v>12</v>
      </c>
      <c r="AAA113" s="12" t="s">
        <v>268</v>
      </c>
    </row>
    <row r="114" spans="1:703" x14ac:dyDescent="0.3">
      <c r="A114" s="30" t="s">
        <v>269</v>
      </c>
      <c r="B114" s="31" t="s">
        <v>270</v>
      </c>
      <c r="C114" s="10"/>
      <c r="D114" s="10"/>
      <c r="E114" s="56"/>
      <c r="F114" s="10"/>
      <c r="G114" s="11"/>
      <c r="ZZ114" t="s">
        <v>141</v>
      </c>
      <c r="AAA114" s="12"/>
    </row>
    <row r="115" spans="1:703" x14ac:dyDescent="0.3">
      <c r="A115" s="19" t="s">
        <v>271</v>
      </c>
      <c r="B115" s="20" t="s">
        <v>272</v>
      </c>
      <c r="C115" s="15" t="s">
        <v>1</v>
      </c>
      <c r="D115" s="16">
        <v>1</v>
      </c>
      <c r="E115" s="56">
        <f t="shared" si="1"/>
        <v>1</v>
      </c>
      <c r="F115" s="17">
        <v>192.72</v>
      </c>
      <c r="G115" s="18">
        <f>ROUND(E115*F115,2)</f>
        <v>192.72</v>
      </c>
      <c r="ZZ115" t="s">
        <v>12</v>
      </c>
      <c r="AAA115" s="12" t="s">
        <v>273</v>
      </c>
    </row>
    <row r="116" spans="1:703" x14ac:dyDescent="0.3">
      <c r="A116" s="21"/>
      <c r="B116" s="22"/>
      <c r="C116" s="10"/>
      <c r="D116" s="10"/>
      <c r="E116" s="56"/>
      <c r="F116" s="10"/>
      <c r="G116" s="23"/>
    </row>
    <row r="117" spans="1:703" ht="26.4" x14ac:dyDescent="0.3">
      <c r="A117" s="54"/>
      <c r="B117" s="32" t="s">
        <v>274</v>
      </c>
      <c r="C117" s="33"/>
      <c r="D117" s="33"/>
      <c r="E117" s="33"/>
      <c r="F117" s="33"/>
      <c r="G117" s="34">
        <f>SUBTOTAL(109,G76:G116)</f>
        <v>97945.750000000015</v>
      </c>
      <c r="H117" s="35"/>
      <c r="ZZ117" t="s">
        <v>18</v>
      </c>
    </row>
    <row r="118" spans="1:703" x14ac:dyDescent="0.3">
      <c r="A118" s="1"/>
      <c r="B118" s="6"/>
      <c r="C118" s="10"/>
      <c r="D118" s="10"/>
      <c r="E118" s="56"/>
      <c r="F118" s="10"/>
      <c r="G118" s="8"/>
    </row>
    <row r="119" spans="1:703" x14ac:dyDescent="0.3">
      <c r="A119" s="53" t="s">
        <v>275</v>
      </c>
      <c r="B119" s="9" t="s">
        <v>276</v>
      </c>
      <c r="C119" s="10"/>
      <c r="D119" s="10"/>
      <c r="E119" s="56"/>
      <c r="F119" s="10"/>
      <c r="G119" s="11"/>
      <c r="ZZ119" t="s">
        <v>8</v>
      </c>
      <c r="AAA119" s="12"/>
    </row>
    <row r="120" spans="1:703" ht="26.4" x14ac:dyDescent="0.3">
      <c r="A120" s="25" t="s">
        <v>277</v>
      </c>
      <c r="B120" s="26" t="s">
        <v>278</v>
      </c>
      <c r="C120" s="10"/>
      <c r="D120" s="10"/>
      <c r="E120" s="56"/>
      <c r="F120" s="10"/>
      <c r="G120" s="11"/>
      <c r="ZZ120" t="s">
        <v>39</v>
      </c>
      <c r="AAA120" s="12"/>
    </row>
    <row r="121" spans="1:703" x14ac:dyDescent="0.3">
      <c r="A121" s="19" t="s">
        <v>279</v>
      </c>
      <c r="B121" s="20" t="s">
        <v>182</v>
      </c>
      <c r="C121" s="15" t="s">
        <v>57</v>
      </c>
      <c r="D121" s="17">
        <v>469.43</v>
      </c>
      <c r="E121" s="56">
        <f t="shared" si="1"/>
        <v>469.43</v>
      </c>
      <c r="F121" s="17">
        <v>32.74</v>
      </c>
      <c r="G121" s="18">
        <f>ROUND(E121*F121,2)</f>
        <v>15369.14</v>
      </c>
      <c r="ZZ121" t="s">
        <v>12</v>
      </c>
      <c r="AAA121" s="12" t="s">
        <v>280</v>
      </c>
    </row>
    <row r="122" spans="1:703" x14ac:dyDescent="0.3">
      <c r="A122" s="19" t="s">
        <v>281</v>
      </c>
      <c r="B122" s="20" t="s">
        <v>123</v>
      </c>
      <c r="C122" s="15" t="s">
        <v>124</v>
      </c>
      <c r="D122" s="17">
        <v>1228.95</v>
      </c>
      <c r="E122" s="56">
        <f t="shared" si="1"/>
        <v>1228.95</v>
      </c>
      <c r="F122" s="17">
        <v>1.91</v>
      </c>
      <c r="G122" s="18">
        <f>ROUND(E122*F122,2)</f>
        <v>2347.29</v>
      </c>
      <c r="ZZ122" t="s">
        <v>12</v>
      </c>
      <c r="AAA122" s="12" t="s">
        <v>282</v>
      </c>
    </row>
    <row r="123" spans="1:703" x14ac:dyDescent="0.3">
      <c r="A123" s="19" t="s">
        <v>283</v>
      </c>
      <c r="B123" s="20" t="s">
        <v>127</v>
      </c>
      <c r="C123" s="15" t="s">
        <v>124</v>
      </c>
      <c r="D123" s="17">
        <v>1236.3699999999999</v>
      </c>
      <c r="E123" s="56">
        <f t="shared" si="1"/>
        <v>1236.3699999999999</v>
      </c>
      <c r="F123" s="17">
        <v>2.4300000000000002</v>
      </c>
      <c r="G123" s="18">
        <f>ROUND(E123*F123,2)</f>
        <v>3004.38</v>
      </c>
      <c r="ZZ123" t="s">
        <v>12</v>
      </c>
      <c r="AAA123" s="12" t="s">
        <v>284</v>
      </c>
    </row>
    <row r="124" spans="1:703" ht="26.4" x14ac:dyDescent="0.3">
      <c r="A124" s="19" t="s">
        <v>285</v>
      </c>
      <c r="B124" s="20" t="s">
        <v>286</v>
      </c>
      <c r="C124" s="15" t="s">
        <v>42</v>
      </c>
      <c r="D124" s="27">
        <v>31.744</v>
      </c>
      <c r="E124" s="57">
        <f t="shared" si="1"/>
        <v>31.744</v>
      </c>
      <c r="F124" s="17">
        <v>187.34</v>
      </c>
      <c r="G124" s="18">
        <f>ROUND(E124*F124,2)</f>
        <v>5946.92</v>
      </c>
      <c r="ZZ124" t="s">
        <v>12</v>
      </c>
      <c r="AAA124" s="12" t="s">
        <v>287</v>
      </c>
    </row>
    <row r="125" spans="1:703" ht="26.4" x14ac:dyDescent="0.3">
      <c r="A125" s="28" t="s">
        <v>288</v>
      </c>
      <c r="B125" s="29" t="s">
        <v>289</v>
      </c>
      <c r="C125" s="10"/>
      <c r="D125" s="10"/>
      <c r="E125" s="56"/>
      <c r="F125" s="10"/>
      <c r="G125" s="11"/>
      <c r="ZZ125" t="s">
        <v>39</v>
      </c>
      <c r="AAA125" s="12"/>
    </row>
    <row r="126" spans="1:703" ht="26.4" x14ac:dyDescent="0.3">
      <c r="A126" s="19" t="s">
        <v>290</v>
      </c>
      <c r="B126" s="20" t="s">
        <v>291</v>
      </c>
      <c r="C126" s="15" t="s">
        <v>26</v>
      </c>
      <c r="D126" s="24">
        <v>63</v>
      </c>
      <c r="E126" s="56">
        <f t="shared" si="1"/>
        <v>63</v>
      </c>
      <c r="F126" s="17">
        <v>78.62</v>
      </c>
      <c r="G126" s="18">
        <f t="shared" ref="G126:G131" si="2">ROUND(E126*F126,2)</f>
        <v>4953.0600000000004</v>
      </c>
      <c r="ZZ126" t="s">
        <v>12</v>
      </c>
      <c r="AAA126" s="12" t="s">
        <v>292</v>
      </c>
    </row>
    <row r="127" spans="1:703" x14ac:dyDescent="0.3">
      <c r="A127" s="19" t="s">
        <v>293</v>
      </c>
      <c r="B127" s="20" t="s">
        <v>294</v>
      </c>
      <c r="C127" s="15" t="s">
        <v>57</v>
      </c>
      <c r="D127" s="17">
        <v>397.89</v>
      </c>
      <c r="E127" s="56">
        <f t="shared" si="1"/>
        <v>397.89</v>
      </c>
      <c r="F127" s="17">
        <v>68.48</v>
      </c>
      <c r="G127" s="18">
        <f t="shared" si="2"/>
        <v>27247.51</v>
      </c>
      <c r="ZZ127" t="s">
        <v>12</v>
      </c>
      <c r="AAA127" s="12" t="s">
        <v>295</v>
      </c>
    </row>
    <row r="128" spans="1:703" x14ac:dyDescent="0.3">
      <c r="A128" s="19" t="s">
        <v>296</v>
      </c>
      <c r="B128" s="20" t="s">
        <v>297</v>
      </c>
      <c r="C128" s="15" t="s">
        <v>26</v>
      </c>
      <c r="D128" s="24">
        <v>48.9</v>
      </c>
      <c r="E128" s="56">
        <f t="shared" si="1"/>
        <v>48.9</v>
      </c>
      <c r="F128" s="17">
        <v>20.46</v>
      </c>
      <c r="G128" s="18">
        <f t="shared" si="2"/>
        <v>1000.49</v>
      </c>
      <c r="ZZ128" t="s">
        <v>12</v>
      </c>
      <c r="AAA128" s="12" t="s">
        <v>298</v>
      </c>
    </row>
    <row r="129" spans="1:703" ht="26.4" x14ac:dyDescent="0.3">
      <c r="A129" s="19" t="s">
        <v>299</v>
      </c>
      <c r="B129" s="20" t="s">
        <v>300</v>
      </c>
      <c r="C129" s="15" t="s">
        <v>26</v>
      </c>
      <c r="D129" s="24">
        <v>18.7</v>
      </c>
      <c r="E129" s="56">
        <f t="shared" si="1"/>
        <v>18.7</v>
      </c>
      <c r="F129" s="17">
        <v>36.83</v>
      </c>
      <c r="G129" s="18">
        <f t="shared" si="2"/>
        <v>688.72</v>
      </c>
      <c r="ZZ129" t="s">
        <v>12</v>
      </c>
      <c r="AAA129" s="12" t="s">
        <v>301</v>
      </c>
    </row>
    <row r="130" spans="1:703" ht="26.4" x14ac:dyDescent="0.3">
      <c r="A130" s="19" t="s">
        <v>302</v>
      </c>
      <c r="B130" s="20" t="s">
        <v>303</v>
      </c>
      <c r="C130" s="15" t="s">
        <v>304</v>
      </c>
      <c r="D130" s="16">
        <v>1</v>
      </c>
      <c r="E130" s="56">
        <v>1</v>
      </c>
      <c r="F130" s="17">
        <v>1309.44</v>
      </c>
      <c r="G130" s="18">
        <f t="shared" si="2"/>
        <v>1309.44</v>
      </c>
      <c r="ZZ130" t="s">
        <v>12</v>
      </c>
      <c r="AAA130" s="12" t="s">
        <v>305</v>
      </c>
    </row>
    <row r="131" spans="1:703" x14ac:dyDescent="0.3">
      <c r="A131" s="19" t="s">
        <v>306</v>
      </c>
      <c r="B131" s="20" t="s">
        <v>307</v>
      </c>
      <c r="C131" s="15" t="s">
        <v>26</v>
      </c>
      <c r="D131" s="24">
        <v>62.9</v>
      </c>
      <c r="E131" s="56">
        <f t="shared" si="1"/>
        <v>62.9</v>
      </c>
      <c r="F131" s="17">
        <v>40.06</v>
      </c>
      <c r="G131" s="18">
        <f t="shared" si="2"/>
        <v>2519.77</v>
      </c>
      <c r="ZZ131" t="s">
        <v>12</v>
      </c>
      <c r="AAA131" s="12" t="s">
        <v>308</v>
      </c>
    </row>
    <row r="132" spans="1:703" x14ac:dyDescent="0.3">
      <c r="A132" s="28" t="s">
        <v>309</v>
      </c>
      <c r="B132" s="29" t="s">
        <v>310</v>
      </c>
      <c r="C132" s="10"/>
      <c r="D132" s="10"/>
      <c r="E132" s="56"/>
      <c r="F132" s="10"/>
      <c r="G132" s="11"/>
      <c r="ZZ132" t="s">
        <v>39</v>
      </c>
      <c r="AAA132" s="12"/>
    </row>
    <row r="133" spans="1:703" x14ac:dyDescent="0.3">
      <c r="A133" s="19" t="s">
        <v>311</v>
      </c>
      <c r="B133" s="20" t="s">
        <v>182</v>
      </c>
      <c r="C133" s="15" t="s">
        <v>57</v>
      </c>
      <c r="D133" s="17">
        <v>1402.98</v>
      </c>
      <c r="E133" s="56">
        <f t="shared" si="1"/>
        <v>1402.98</v>
      </c>
      <c r="F133" s="17">
        <v>28.64</v>
      </c>
      <c r="G133" s="18">
        <f t="shared" ref="G133:G138" si="3">ROUND(E133*F133,2)</f>
        <v>40181.35</v>
      </c>
      <c r="ZZ133" t="s">
        <v>12</v>
      </c>
      <c r="AAA133" s="12" t="s">
        <v>312</v>
      </c>
    </row>
    <row r="134" spans="1:703" x14ac:dyDescent="0.3">
      <c r="A134" s="19" t="s">
        <v>313</v>
      </c>
      <c r="B134" s="20" t="s">
        <v>314</v>
      </c>
      <c r="C134" s="15" t="s">
        <v>26</v>
      </c>
      <c r="D134" s="24">
        <v>67.8</v>
      </c>
      <c r="E134" s="56">
        <f t="shared" ref="E134:E197" si="4">D134</f>
        <v>67.8</v>
      </c>
      <c r="F134" s="17">
        <v>28.64</v>
      </c>
      <c r="G134" s="18">
        <f t="shared" si="3"/>
        <v>1941.79</v>
      </c>
      <c r="ZZ134" t="s">
        <v>12</v>
      </c>
      <c r="AAA134" s="12" t="s">
        <v>315</v>
      </c>
    </row>
    <row r="135" spans="1:703" x14ac:dyDescent="0.3">
      <c r="A135" s="19" t="s">
        <v>316</v>
      </c>
      <c r="B135" s="20" t="s">
        <v>317</v>
      </c>
      <c r="C135" s="15" t="s">
        <v>1</v>
      </c>
      <c r="D135" s="16">
        <v>12</v>
      </c>
      <c r="E135" s="56">
        <f t="shared" si="4"/>
        <v>12</v>
      </c>
      <c r="F135" s="17">
        <v>53.2</v>
      </c>
      <c r="G135" s="18">
        <f t="shared" si="3"/>
        <v>638.4</v>
      </c>
      <c r="ZZ135" t="s">
        <v>12</v>
      </c>
      <c r="AAA135" s="12" t="s">
        <v>318</v>
      </c>
    </row>
    <row r="136" spans="1:703" x14ac:dyDescent="0.3">
      <c r="A136" s="19" t="s">
        <v>319</v>
      </c>
      <c r="B136" s="20" t="s">
        <v>123</v>
      </c>
      <c r="C136" s="15" t="s">
        <v>124</v>
      </c>
      <c r="D136" s="17">
        <v>987.43</v>
      </c>
      <c r="E136" s="56">
        <f t="shared" si="4"/>
        <v>987.43</v>
      </c>
      <c r="F136" s="17">
        <v>1.91</v>
      </c>
      <c r="G136" s="18">
        <f t="shared" si="3"/>
        <v>1885.99</v>
      </c>
      <c r="ZZ136" t="s">
        <v>12</v>
      </c>
      <c r="AAA136" s="12" t="s">
        <v>320</v>
      </c>
    </row>
    <row r="137" spans="1:703" x14ac:dyDescent="0.3">
      <c r="A137" s="19" t="s">
        <v>321</v>
      </c>
      <c r="B137" s="20" t="s">
        <v>127</v>
      </c>
      <c r="C137" s="15" t="s">
        <v>124</v>
      </c>
      <c r="D137" s="17">
        <v>2377.8000000000002</v>
      </c>
      <c r="E137" s="56">
        <f t="shared" si="4"/>
        <v>2377.8000000000002</v>
      </c>
      <c r="F137" s="17">
        <v>2.4300000000000002</v>
      </c>
      <c r="G137" s="18">
        <f t="shared" si="3"/>
        <v>5778.05</v>
      </c>
      <c r="ZZ137" t="s">
        <v>12</v>
      </c>
      <c r="AAA137" s="12" t="s">
        <v>322</v>
      </c>
    </row>
    <row r="138" spans="1:703" ht="26.4" x14ac:dyDescent="0.3">
      <c r="A138" s="19" t="s">
        <v>323</v>
      </c>
      <c r="B138" s="20" t="s">
        <v>324</v>
      </c>
      <c r="C138" s="15" t="s">
        <v>42</v>
      </c>
      <c r="D138" s="27">
        <v>116.992</v>
      </c>
      <c r="E138" s="56">
        <f t="shared" si="4"/>
        <v>116.992</v>
      </c>
      <c r="F138" s="17">
        <v>184.7</v>
      </c>
      <c r="G138" s="18">
        <f t="shared" si="3"/>
        <v>21608.42</v>
      </c>
      <c r="ZZ138" t="s">
        <v>12</v>
      </c>
      <c r="AAA138" s="12" t="s">
        <v>325</v>
      </c>
    </row>
    <row r="139" spans="1:703" x14ac:dyDescent="0.3">
      <c r="A139" s="28" t="s">
        <v>326</v>
      </c>
      <c r="B139" s="29" t="s">
        <v>327</v>
      </c>
      <c r="C139" s="10"/>
      <c r="D139" s="10"/>
      <c r="E139" s="56"/>
      <c r="F139" s="10"/>
      <c r="G139" s="11"/>
      <c r="ZZ139" t="s">
        <v>39</v>
      </c>
      <c r="AAA139" s="12"/>
    </row>
    <row r="140" spans="1:703" x14ac:dyDescent="0.3">
      <c r="A140" s="19" t="s">
        <v>328</v>
      </c>
      <c r="B140" s="20" t="s">
        <v>182</v>
      </c>
      <c r="C140" s="15" t="s">
        <v>57</v>
      </c>
      <c r="D140" s="17">
        <v>41.33</v>
      </c>
      <c r="E140" s="56">
        <f t="shared" si="4"/>
        <v>41.33</v>
      </c>
      <c r="F140" s="17">
        <v>45.01</v>
      </c>
      <c r="G140" s="18">
        <f>ROUND(E140*F140,2)</f>
        <v>1860.26</v>
      </c>
      <c r="ZZ140" t="s">
        <v>12</v>
      </c>
      <c r="AAA140" s="12" t="s">
        <v>329</v>
      </c>
    </row>
    <row r="141" spans="1:703" x14ac:dyDescent="0.3">
      <c r="A141" s="19" t="s">
        <v>330</v>
      </c>
      <c r="B141" s="20" t="s">
        <v>331</v>
      </c>
      <c r="C141" s="15" t="s">
        <v>57</v>
      </c>
      <c r="D141" s="17">
        <v>23.81</v>
      </c>
      <c r="E141" s="56">
        <f t="shared" si="4"/>
        <v>23.81</v>
      </c>
      <c r="F141" s="17">
        <v>49.1</v>
      </c>
      <c r="G141" s="18">
        <f>ROUND(E141*F141,2)</f>
        <v>1169.07</v>
      </c>
      <c r="ZZ141" t="s">
        <v>12</v>
      </c>
      <c r="AAA141" s="12" t="s">
        <v>332</v>
      </c>
    </row>
    <row r="142" spans="1:703" x14ac:dyDescent="0.3">
      <c r="A142" s="19" t="s">
        <v>333</v>
      </c>
      <c r="B142" s="20" t="s">
        <v>127</v>
      </c>
      <c r="C142" s="15" t="s">
        <v>124</v>
      </c>
      <c r="D142" s="17">
        <v>609.82000000000005</v>
      </c>
      <c r="E142" s="56">
        <f t="shared" si="4"/>
        <v>609.82000000000005</v>
      </c>
      <c r="F142" s="17">
        <v>2.4300000000000002</v>
      </c>
      <c r="G142" s="18">
        <f>ROUND(E142*F142,2)</f>
        <v>1481.86</v>
      </c>
      <c r="ZZ142" t="s">
        <v>12</v>
      </c>
      <c r="AAA142" s="12" t="s">
        <v>334</v>
      </c>
    </row>
    <row r="143" spans="1:703" x14ac:dyDescent="0.3">
      <c r="A143" s="19" t="s">
        <v>335</v>
      </c>
      <c r="B143" s="20" t="s">
        <v>336</v>
      </c>
      <c r="C143" s="15" t="s">
        <v>42</v>
      </c>
      <c r="D143" s="27">
        <v>4.5469999999999997</v>
      </c>
      <c r="E143" s="57">
        <f t="shared" si="4"/>
        <v>4.5469999999999997</v>
      </c>
      <c r="F143" s="17">
        <v>180.61</v>
      </c>
      <c r="G143" s="18">
        <f>ROUND(E143*F143,2)</f>
        <v>821.23</v>
      </c>
      <c r="ZZ143" t="s">
        <v>12</v>
      </c>
      <c r="AAA143" s="12" t="s">
        <v>337</v>
      </c>
    </row>
    <row r="144" spans="1:703" x14ac:dyDescent="0.3">
      <c r="A144" s="28" t="s">
        <v>338</v>
      </c>
      <c r="B144" s="29" t="s">
        <v>339</v>
      </c>
      <c r="C144" s="10"/>
      <c r="D144" s="10"/>
      <c r="E144" s="57"/>
      <c r="F144" s="10"/>
      <c r="G144" s="11"/>
      <c r="ZZ144" t="s">
        <v>39</v>
      </c>
      <c r="AAA144" s="12"/>
    </row>
    <row r="145" spans="1:703" x14ac:dyDescent="0.3">
      <c r="A145" s="19" t="s">
        <v>340</v>
      </c>
      <c r="B145" s="20" t="s">
        <v>182</v>
      </c>
      <c r="C145" s="15" t="s">
        <v>57</v>
      </c>
      <c r="D145" s="17">
        <v>47.2</v>
      </c>
      <c r="E145" s="56">
        <f t="shared" si="4"/>
        <v>47.2</v>
      </c>
      <c r="F145" s="17">
        <v>45.01</v>
      </c>
      <c r="G145" s="18">
        <f t="shared" ref="G145:G150" si="5">ROUND(E145*F145,2)</f>
        <v>2124.4699999999998</v>
      </c>
      <c r="ZZ145" t="s">
        <v>12</v>
      </c>
      <c r="AAA145" s="12" t="s">
        <v>341</v>
      </c>
    </row>
    <row r="146" spans="1:703" x14ac:dyDescent="0.3">
      <c r="A146" s="19" t="s">
        <v>342</v>
      </c>
      <c r="B146" s="20" t="s">
        <v>127</v>
      </c>
      <c r="C146" s="15" t="s">
        <v>124</v>
      </c>
      <c r="D146" s="17">
        <v>2106.25</v>
      </c>
      <c r="E146" s="56">
        <f t="shared" si="4"/>
        <v>2106.25</v>
      </c>
      <c r="F146" s="17">
        <v>2.4300000000000002</v>
      </c>
      <c r="G146" s="18">
        <f t="shared" si="5"/>
        <v>5118.1899999999996</v>
      </c>
      <c r="ZZ146" t="s">
        <v>12</v>
      </c>
      <c r="AAA146" s="12" t="s">
        <v>343</v>
      </c>
    </row>
    <row r="147" spans="1:703" x14ac:dyDescent="0.3">
      <c r="A147" s="19" t="s">
        <v>344</v>
      </c>
      <c r="B147" s="20" t="s">
        <v>345</v>
      </c>
      <c r="C147" s="15" t="s">
        <v>124</v>
      </c>
      <c r="D147" s="17">
        <v>1012.5</v>
      </c>
      <c r="E147" s="56">
        <f t="shared" si="4"/>
        <v>1012.5</v>
      </c>
      <c r="F147" s="17">
        <v>2.4300000000000002</v>
      </c>
      <c r="G147" s="18">
        <f t="shared" si="5"/>
        <v>2460.38</v>
      </c>
      <c r="ZZ147" t="s">
        <v>12</v>
      </c>
      <c r="AAA147" s="12" t="s">
        <v>346</v>
      </c>
    </row>
    <row r="148" spans="1:703" x14ac:dyDescent="0.3">
      <c r="A148" s="19" t="s">
        <v>347</v>
      </c>
      <c r="B148" s="20" t="s">
        <v>348</v>
      </c>
      <c r="C148" s="15" t="s">
        <v>124</v>
      </c>
      <c r="D148" s="17">
        <v>88.5</v>
      </c>
      <c r="E148" s="56">
        <f t="shared" si="4"/>
        <v>88.5</v>
      </c>
      <c r="F148" s="17">
        <v>2.4300000000000002</v>
      </c>
      <c r="G148" s="18">
        <f t="shared" si="5"/>
        <v>215.06</v>
      </c>
      <c r="ZZ148" t="s">
        <v>12</v>
      </c>
      <c r="AAA148" s="12" t="s">
        <v>349</v>
      </c>
    </row>
    <row r="149" spans="1:703" x14ac:dyDescent="0.3">
      <c r="A149" s="19" t="s">
        <v>350</v>
      </c>
      <c r="B149" s="20" t="s">
        <v>351</v>
      </c>
      <c r="C149" s="15" t="s">
        <v>124</v>
      </c>
      <c r="D149" s="17">
        <v>1012.5</v>
      </c>
      <c r="E149" s="56">
        <f t="shared" si="4"/>
        <v>1012.5</v>
      </c>
      <c r="F149" s="17">
        <v>1.91</v>
      </c>
      <c r="G149" s="18">
        <f t="shared" si="5"/>
        <v>1933.88</v>
      </c>
      <c r="ZZ149" t="s">
        <v>12</v>
      </c>
      <c r="AAA149" s="12" t="s">
        <v>352</v>
      </c>
    </row>
    <row r="150" spans="1:703" x14ac:dyDescent="0.3">
      <c r="A150" s="19" t="s">
        <v>353</v>
      </c>
      <c r="B150" s="20" t="s">
        <v>354</v>
      </c>
      <c r="C150" s="15" t="s">
        <v>42</v>
      </c>
      <c r="D150" s="27">
        <v>4.4530000000000003</v>
      </c>
      <c r="E150" s="57">
        <f t="shared" si="4"/>
        <v>4.4530000000000003</v>
      </c>
      <c r="F150" s="17">
        <v>180.61</v>
      </c>
      <c r="G150" s="18">
        <f t="shared" si="5"/>
        <v>804.26</v>
      </c>
      <c r="ZZ150" t="s">
        <v>12</v>
      </c>
      <c r="AAA150" s="12" t="s">
        <v>355</v>
      </c>
    </row>
    <row r="151" spans="1:703" ht="26.4" x14ac:dyDescent="0.3">
      <c r="A151" s="28" t="s">
        <v>356</v>
      </c>
      <c r="B151" s="29" t="s">
        <v>357</v>
      </c>
      <c r="C151" s="10"/>
      <c r="D151" s="10"/>
      <c r="E151" s="56"/>
      <c r="F151" s="10"/>
      <c r="G151" s="11"/>
      <c r="ZZ151" t="s">
        <v>39</v>
      </c>
      <c r="AAA151" s="12"/>
    </row>
    <row r="152" spans="1:703" x14ac:dyDescent="0.3">
      <c r="A152" s="19" t="s">
        <v>358</v>
      </c>
      <c r="B152" s="20" t="s">
        <v>182</v>
      </c>
      <c r="C152" s="15" t="s">
        <v>57</v>
      </c>
      <c r="D152" s="17">
        <v>679.21</v>
      </c>
      <c r="E152" s="56">
        <f t="shared" si="4"/>
        <v>679.21</v>
      </c>
      <c r="F152" s="17">
        <v>28.64</v>
      </c>
      <c r="G152" s="18">
        <f>ROUND(E152*F152,2)</f>
        <v>19452.57</v>
      </c>
      <c r="ZZ152" t="s">
        <v>12</v>
      </c>
      <c r="AAA152" s="12" t="s">
        <v>359</v>
      </c>
    </row>
    <row r="153" spans="1:703" x14ac:dyDescent="0.3">
      <c r="A153" s="19" t="s">
        <v>360</v>
      </c>
      <c r="B153" s="20" t="s">
        <v>331</v>
      </c>
      <c r="C153" s="15" t="s">
        <v>57</v>
      </c>
      <c r="D153" s="17">
        <v>69.95</v>
      </c>
      <c r="E153" s="56">
        <f t="shared" si="4"/>
        <v>69.95</v>
      </c>
      <c r="F153" s="17">
        <v>32.74</v>
      </c>
      <c r="G153" s="18">
        <f>ROUND(E153*F153,2)</f>
        <v>2290.16</v>
      </c>
      <c r="ZZ153" t="s">
        <v>12</v>
      </c>
      <c r="AAA153" s="12" t="s">
        <v>361</v>
      </c>
    </row>
    <row r="154" spans="1:703" x14ac:dyDescent="0.3">
      <c r="A154" s="19" t="s">
        <v>362</v>
      </c>
      <c r="B154" s="20" t="s">
        <v>123</v>
      </c>
      <c r="C154" s="15" t="s">
        <v>124</v>
      </c>
      <c r="D154" s="17">
        <v>8253.51</v>
      </c>
      <c r="E154" s="56">
        <f t="shared" si="4"/>
        <v>8253.51</v>
      </c>
      <c r="F154" s="17">
        <v>1.91</v>
      </c>
      <c r="G154" s="18">
        <f>ROUND(E154*F154,2)</f>
        <v>15764.2</v>
      </c>
      <c r="ZZ154" t="s">
        <v>12</v>
      </c>
      <c r="AAA154" s="12" t="s">
        <v>363</v>
      </c>
    </row>
    <row r="155" spans="1:703" x14ac:dyDescent="0.3">
      <c r="A155" s="19" t="s">
        <v>364</v>
      </c>
      <c r="B155" s="20" t="s">
        <v>127</v>
      </c>
      <c r="C155" s="15" t="s">
        <v>124</v>
      </c>
      <c r="D155" s="17">
        <v>1456.35</v>
      </c>
      <c r="E155" s="56">
        <f t="shared" si="4"/>
        <v>1456.35</v>
      </c>
      <c r="F155" s="17">
        <v>2.4300000000000002</v>
      </c>
      <c r="G155" s="18">
        <f>ROUND(E155*F155,2)</f>
        <v>3538.93</v>
      </c>
      <c r="ZZ155" t="s">
        <v>12</v>
      </c>
      <c r="AAA155" s="12" t="s">
        <v>365</v>
      </c>
    </row>
    <row r="156" spans="1:703" x14ac:dyDescent="0.3">
      <c r="A156" s="19" t="s">
        <v>366</v>
      </c>
      <c r="B156" s="20" t="s">
        <v>367</v>
      </c>
      <c r="C156" s="15" t="s">
        <v>42</v>
      </c>
      <c r="D156" s="27">
        <v>168.31800000000001</v>
      </c>
      <c r="E156" s="56">
        <f t="shared" si="4"/>
        <v>168.31800000000001</v>
      </c>
      <c r="F156" s="17">
        <v>180.61</v>
      </c>
      <c r="G156" s="18">
        <f>ROUND(E156*F156,2)</f>
        <v>30399.91</v>
      </c>
      <c r="ZZ156" t="s">
        <v>12</v>
      </c>
      <c r="AAA156" s="12" t="s">
        <v>368</v>
      </c>
    </row>
    <row r="157" spans="1:703" x14ac:dyDescent="0.3">
      <c r="A157" s="28" t="s">
        <v>369</v>
      </c>
      <c r="B157" s="29" t="s">
        <v>370</v>
      </c>
      <c r="C157" s="10"/>
      <c r="D157" s="10"/>
      <c r="E157" s="56"/>
      <c r="F157" s="10"/>
      <c r="G157" s="11"/>
      <c r="ZZ157" t="s">
        <v>39</v>
      </c>
      <c r="AAA157" s="12"/>
    </row>
    <row r="158" spans="1:703" x14ac:dyDescent="0.3">
      <c r="A158" s="19" t="s">
        <v>371</v>
      </c>
      <c r="B158" s="20" t="s">
        <v>372</v>
      </c>
      <c r="C158" s="15" t="s">
        <v>57</v>
      </c>
      <c r="D158" s="17">
        <v>61.42</v>
      </c>
      <c r="E158" s="56">
        <f t="shared" si="4"/>
        <v>61.42</v>
      </c>
      <c r="F158" s="17">
        <v>16.37</v>
      </c>
      <c r="G158" s="18">
        <f>ROUND(E158*F158,2)</f>
        <v>1005.45</v>
      </c>
      <c r="ZZ158" t="s">
        <v>12</v>
      </c>
      <c r="AAA158" s="12" t="s">
        <v>373</v>
      </c>
    </row>
    <row r="159" spans="1:703" x14ac:dyDescent="0.3">
      <c r="A159" s="19" t="s">
        <v>374</v>
      </c>
      <c r="B159" s="20" t="s">
        <v>375</v>
      </c>
      <c r="C159" s="15" t="s">
        <v>26</v>
      </c>
      <c r="D159" s="24">
        <v>32.1</v>
      </c>
      <c r="E159" s="56">
        <f t="shared" si="4"/>
        <v>32.1</v>
      </c>
      <c r="F159" s="17">
        <v>28.64</v>
      </c>
      <c r="G159" s="18">
        <f>ROUND(E159*F159,2)</f>
        <v>919.34</v>
      </c>
      <c r="ZZ159" t="s">
        <v>12</v>
      </c>
      <c r="AAA159" s="12" t="s">
        <v>376</v>
      </c>
    </row>
    <row r="160" spans="1:703" ht="26.4" x14ac:dyDescent="0.3">
      <c r="A160" s="19" t="s">
        <v>377</v>
      </c>
      <c r="B160" s="20" t="s">
        <v>378</v>
      </c>
      <c r="C160" s="15" t="s">
        <v>1</v>
      </c>
      <c r="D160" s="16">
        <v>9</v>
      </c>
      <c r="E160" s="56">
        <f t="shared" si="4"/>
        <v>9</v>
      </c>
      <c r="F160" s="17">
        <v>65.47</v>
      </c>
      <c r="G160" s="18">
        <f>ROUND(E160*F160,2)</f>
        <v>589.23</v>
      </c>
      <c r="ZZ160" t="s">
        <v>12</v>
      </c>
      <c r="AAA160" s="12" t="s">
        <v>379</v>
      </c>
    </row>
    <row r="161" spans="1:703" x14ac:dyDescent="0.3">
      <c r="A161" s="28" t="s">
        <v>380</v>
      </c>
      <c r="B161" s="29" t="s">
        <v>381</v>
      </c>
      <c r="C161" s="10"/>
      <c r="D161" s="10"/>
      <c r="E161" s="56"/>
      <c r="F161" s="10"/>
      <c r="G161" s="11"/>
      <c r="ZZ161" t="s">
        <v>39</v>
      </c>
      <c r="AAA161" s="12"/>
    </row>
    <row r="162" spans="1:703" x14ac:dyDescent="0.3">
      <c r="A162" s="19" t="s">
        <v>382</v>
      </c>
      <c r="B162" s="20" t="s">
        <v>383</v>
      </c>
      <c r="C162" s="15" t="s">
        <v>57</v>
      </c>
      <c r="D162" s="17">
        <v>38.46</v>
      </c>
      <c r="E162" s="56">
        <f t="shared" si="4"/>
        <v>38.46</v>
      </c>
      <c r="F162" s="17">
        <v>39.25</v>
      </c>
      <c r="G162" s="18">
        <f>ROUND(E162*F162,2)</f>
        <v>1509.56</v>
      </c>
      <c r="ZZ162" t="s">
        <v>12</v>
      </c>
      <c r="AAA162" s="12" t="s">
        <v>384</v>
      </c>
    </row>
    <row r="163" spans="1:703" x14ac:dyDescent="0.3">
      <c r="A163" s="28" t="s">
        <v>385</v>
      </c>
      <c r="B163" s="29" t="s">
        <v>386</v>
      </c>
      <c r="C163" s="10"/>
      <c r="D163" s="10"/>
      <c r="E163" s="56"/>
      <c r="F163" s="10"/>
      <c r="G163" s="11"/>
      <c r="ZZ163" t="s">
        <v>39</v>
      </c>
      <c r="AAA163" s="12"/>
    </row>
    <row r="164" spans="1:703" x14ac:dyDescent="0.3">
      <c r="A164" s="30" t="s">
        <v>387</v>
      </c>
      <c r="B164" s="31" t="s">
        <v>388</v>
      </c>
      <c r="C164" s="10"/>
      <c r="D164" s="10"/>
      <c r="E164" s="56"/>
      <c r="F164" s="10"/>
      <c r="G164" s="11"/>
      <c r="ZZ164" t="s">
        <v>141</v>
      </c>
      <c r="AAA164" s="12"/>
    </row>
    <row r="165" spans="1:703" ht="26.4" x14ac:dyDescent="0.3">
      <c r="A165" s="19" t="s">
        <v>389</v>
      </c>
      <c r="B165" s="20" t="s">
        <v>390</v>
      </c>
      <c r="C165" s="15" t="s">
        <v>1</v>
      </c>
      <c r="D165" s="16">
        <v>1</v>
      </c>
      <c r="E165" s="56">
        <f t="shared" si="4"/>
        <v>1</v>
      </c>
      <c r="F165" s="17">
        <v>1339.8</v>
      </c>
      <c r="G165" s="18">
        <f>ROUND(E165*F165,2)</f>
        <v>1339.8</v>
      </c>
      <c r="ZZ165" t="s">
        <v>12</v>
      </c>
      <c r="AAA165" s="12" t="s">
        <v>391</v>
      </c>
    </row>
    <row r="166" spans="1:703" ht="26.4" x14ac:dyDescent="0.3">
      <c r="A166" s="19" t="s">
        <v>392</v>
      </c>
      <c r="B166" s="20" t="s">
        <v>393</v>
      </c>
      <c r="C166" s="15" t="s">
        <v>1</v>
      </c>
      <c r="D166" s="16">
        <v>1</v>
      </c>
      <c r="E166" s="56">
        <f t="shared" si="4"/>
        <v>1</v>
      </c>
      <c r="F166" s="17">
        <v>1871.76</v>
      </c>
      <c r="G166" s="18">
        <f>ROUND(E166*F166,2)</f>
        <v>1871.76</v>
      </c>
      <c r="ZZ166" t="s">
        <v>12</v>
      </c>
      <c r="AAA166" s="12" t="s">
        <v>394</v>
      </c>
    </row>
    <row r="167" spans="1:703" x14ac:dyDescent="0.3">
      <c r="A167" s="19" t="s">
        <v>395</v>
      </c>
      <c r="B167" s="20" t="s">
        <v>396</v>
      </c>
      <c r="C167" s="15" t="s">
        <v>1</v>
      </c>
      <c r="D167" s="16">
        <v>1</v>
      </c>
      <c r="E167" s="56">
        <f t="shared" si="4"/>
        <v>1</v>
      </c>
      <c r="F167" s="17">
        <v>1871.76</v>
      </c>
      <c r="G167" s="18">
        <f>ROUND(E167*F167,2)</f>
        <v>1871.76</v>
      </c>
      <c r="ZZ167" t="s">
        <v>12</v>
      </c>
      <c r="AAA167" s="12" t="s">
        <v>397</v>
      </c>
    </row>
    <row r="168" spans="1:703" x14ac:dyDescent="0.3">
      <c r="A168" s="19" t="s">
        <v>398</v>
      </c>
      <c r="B168" s="20" t="s">
        <v>399</v>
      </c>
      <c r="C168" s="15" t="s">
        <v>1</v>
      </c>
      <c r="D168" s="16">
        <v>1</v>
      </c>
      <c r="E168" s="56">
        <f t="shared" si="4"/>
        <v>1</v>
      </c>
      <c r="F168" s="17">
        <v>1339.8</v>
      </c>
      <c r="G168" s="18">
        <f>ROUND(E168*F168,2)</f>
        <v>1339.8</v>
      </c>
      <c r="ZZ168" t="s">
        <v>12</v>
      </c>
      <c r="AAA168" s="12" t="s">
        <v>400</v>
      </c>
    </row>
    <row r="169" spans="1:703" x14ac:dyDescent="0.3">
      <c r="A169" s="19" t="s">
        <v>401</v>
      </c>
      <c r="B169" s="20" t="s">
        <v>402</v>
      </c>
      <c r="C169" s="15" t="s">
        <v>1</v>
      </c>
      <c r="D169" s="16">
        <v>1</v>
      </c>
      <c r="E169" s="56">
        <f t="shared" si="4"/>
        <v>1</v>
      </c>
      <c r="F169" s="17">
        <v>1871.76</v>
      </c>
      <c r="G169" s="18">
        <f>ROUND(E169*F169,2)</f>
        <v>1871.76</v>
      </c>
      <c r="ZZ169" t="s">
        <v>12</v>
      </c>
      <c r="AAA169" s="12" t="s">
        <v>403</v>
      </c>
    </row>
    <row r="170" spans="1:703" x14ac:dyDescent="0.3">
      <c r="A170" s="30" t="s">
        <v>404</v>
      </c>
      <c r="B170" s="31" t="s">
        <v>239</v>
      </c>
      <c r="C170" s="10"/>
      <c r="D170" s="10"/>
      <c r="E170" s="56"/>
      <c r="F170" s="10"/>
      <c r="G170" s="11"/>
      <c r="ZZ170" t="s">
        <v>141</v>
      </c>
      <c r="AAA170" s="12"/>
    </row>
    <row r="171" spans="1:703" x14ac:dyDescent="0.3">
      <c r="A171" s="19" t="s">
        <v>405</v>
      </c>
      <c r="B171" s="20" t="s">
        <v>406</v>
      </c>
      <c r="C171" s="15" t="s">
        <v>57</v>
      </c>
      <c r="D171" s="17">
        <v>9.6999999999999993</v>
      </c>
      <c r="E171" s="56">
        <f t="shared" si="4"/>
        <v>9.6999999999999993</v>
      </c>
      <c r="F171" s="17">
        <v>62.04</v>
      </c>
      <c r="G171" s="18">
        <f>ROUND(E171*F171,2)</f>
        <v>601.79</v>
      </c>
      <c r="ZZ171" t="s">
        <v>12</v>
      </c>
      <c r="AAA171" s="12" t="s">
        <v>407</v>
      </c>
    </row>
    <row r="172" spans="1:703" x14ac:dyDescent="0.3">
      <c r="A172" s="30" t="s">
        <v>408</v>
      </c>
      <c r="B172" s="31" t="s">
        <v>409</v>
      </c>
      <c r="C172" s="10"/>
      <c r="D172" s="10"/>
      <c r="E172" s="56"/>
      <c r="F172" s="10"/>
      <c r="G172" s="11"/>
      <c r="ZZ172" t="s">
        <v>141</v>
      </c>
      <c r="AAA172" s="12"/>
    </row>
    <row r="173" spans="1:703" x14ac:dyDescent="0.3">
      <c r="A173" s="19" t="s">
        <v>410</v>
      </c>
      <c r="B173" s="20" t="s">
        <v>411</v>
      </c>
      <c r="C173" s="15" t="s">
        <v>26</v>
      </c>
      <c r="D173" s="24">
        <v>35</v>
      </c>
      <c r="E173" s="56">
        <f t="shared" si="4"/>
        <v>35</v>
      </c>
      <c r="F173" s="17">
        <v>66</v>
      </c>
      <c r="G173" s="18">
        <f>ROUND(E173*F173,2)</f>
        <v>2310</v>
      </c>
      <c r="ZZ173" t="s">
        <v>12</v>
      </c>
      <c r="AAA173" s="12" t="s">
        <v>412</v>
      </c>
    </row>
    <row r="174" spans="1:703" x14ac:dyDescent="0.3">
      <c r="A174" s="19" t="s">
        <v>413</v>
      </c>
      <c r="B174" s="20" t="s">
        <v>414</v>
      </c>
      <c r="C174" s="15" t="s">
        <v>26</v>
      </c>
      <c r="D174" s="24">
        <v>45.4</v>
      </c>
      <c r="E174" s="56">
        <f t="shared" si="4"/>
        <v>45.4</v>
      </c>
      <c r="F174" s="17">
        <v>66</v>
      </c>
      <c r="G174" s="18">
        <f>ROUND(E174*F174,2)</f>
        <v>2996.4</v>
      </c>
      <c r="ZZ174" t="s">
        <v>12</v>
      </c>
      <c r="AAA174" s="12" t="s">
        <v>415</v>
      </c>
    </row>
    <row r="175" spans="1:703" x14ac:dyDescent="0.3">
      <c r="A175" s="30" t="s">
        <v>416</v>
      </c>
      <c r="B175" s="31" t="s">
        <v>417</v>
      </c>
      <c r="C175" s="10"/>
      <c r="D175" s="10"/>
      <c r="E175" s="56"/>
      <c r="F175" s="10"/>
      <c r="G175" s="11"/>
      <c r="ZZ175" t="s">
        <v>141</v>
      </c>
      <c r="AAA175" s="12"/>
    </row>
    <row r="176" spans="1:703" x14ac:dyDescent="0.3">
      <c r="A176" s="19" t="s">
        <v>418</v>
      </c>
      <c r="B176" s="20" t="s">
        <v>419</v>
      </c>
      <c r="C176" s="15" t="s">
        <v>57</v>
      </c>
      <c r="D176" s="17">
        <v>83.31</v>
      </c>
      <c r="E176" s="56">
        <f t="shared" si="4"/>
        <v>83.31</v>
      </c>
      <c r="F176" s="17">
        <v>15.47</v>
      </c>
      <c r="G176" s="18">
        <f>ROUND(E176*F176,2)</f>
        <v>1288.81</v>
      </c>
      <c r="ZZ176" t="s">
        <v>12</v>
      </c>
      <c r="AAA176" s="12" t="s">
        <v>420</v>
      </c>
    </row>
    <row r="177" spans="1:703" x14ac:dyDescent="0.3">
      <c r="A177" s="19" t="s">
        <v>421</v>
      </c>
      <c r="B177" s="20" t="s">
        <v>422</v>
      </c>
      <c r="C177" s="15" t="s">
        <v>26</v>
      </c>
      <c r="D177" s="24">
        <v>2.6</v>
      </c>
      <c r="E177" s="56">
        <f t="shared" si="4"/>
        <v>2.6</v>
      </c>
      <c r="F177" s="17">
        <v>45.98</v>
      </c>
      <c r="G177" s="18">
        <f>ROUND(E177*F177,2)</f>
        <v>119.55</v>
      </c>
      <c r="ZZ177" t="s">
        <v>12</v>
      </c>
      <c r="AAA177" s="12" t="s">
        <v>423</v>
      </c>
    </row>
    <row r="178" spans="1:703" x14ac:dyDescent="0.3">
      <c r="A178" s="30" t="s">
        <v>424</v>
      </c>
      <c r="B178" s="31" t="s">
        <v>425</v>
      </c>
      <c r="C178" s="10"/>
      <c r="D178" s="10"/>
      <c r="E178" s="56"/>
      <c r="F178" s="10"/>
      <c r="G178" s="11"/>
      <c r="ZZ178" t="s">
        <v>141</v>
      </c>
      <c r="AAA178" s="12"/>
    </row>
    <row r="179" spans="1:703" x14ac:dyDescent="0.3">
      <c r="A179" s="19" t="s">
        <v>426</v>
      </c>
      <c r="B179" s="20" t="s">
        <v>427</v>
      </c>
      <c r="C179" s="15" t="s">
        <v>304</v>
      </c>
      <c r="D179" s="16">
        <v>1</v>
      </c>
      <c r="E179" s="56">
        <f t="shared" si="4"/>
        <v>1</v>
      </c>
      <c r="F179" s="17">
        <v>2946.24</v>
      </c>
      <c r="G179" s="18">
        <f>ROUND(E179*F179,2)</f>
        <v>2946.24</v>
      </c>
      <c r="ZZ179" t="s">
        <v>12</v>
      </c>
      <c r="AAA179" s="12" t="s">
        <v>428</v>
      </c>
    </row>
    <row r="180" spans="1:703" x14ac:dyDescent="0.3">
      <c r="A180" s="19" t="s">
        <v>429</v>
      </c>
      <c r="B180" s="20" t="s">
        <v>430</v>
      </c>
      <c r="C180" s="15" t="s">
        <v>304</v>
      </c>
      <c r="D180" s="16">
        <v>1</v>
      </c>
      <c r="E180" s="56">
        <f t="shared" si="4"/>
        <v>1</v>
      </c>
      <c r="F180" s="17">
        <v>386.76</v>
      </c>
      <c r="G180" s="18">
        <f>ROUND(E180*F180,2)</f>
        <v>386.76</v>
      </c>
      <c r="ZZ180" t="s">
        <v>12</v>
      </c>
      <c r="AAA180" s="12" t="s">
        <v>431</v>
      </c>
    </row>
    <row r="181" spans="1:703" x14ac:dyDescent="0.3">
      <c r="A181" s="30" t="s">
        <v>432</v>
      </c>
      <c r="B181" s="31" t="s">
        <v>433</v>
      </c>
      <c r="C181" s="10"/>
      <c r="D181" s="10"/>
      <c r="E181" s="56"/>
      <c r="F181" s="10"/>
      <c r="G181" s="11"/>
      <c r="ZZ181" t="s">
        <v>141</v>
      </c>
      <c r="AAA181" s="12"/>
    </row>
    <row r="182" spans="1:703" x14ac:dyDescent="0.3">
      <c r="A182" s="19" t="s">
        <v>434</v>
      </c>
      <c r="B182" s="20" t="s">
        <v>435</v>
      </c>
      <c r="C182" s="15" t="s">
        <v>57</v>
      </c>
      <c r="D182" s="17">
        <v>1.4</v>
      </c>
      <c r="E182" s="56">
        <f t="shared" si="4"/>
        <v>1.4</v>
      </c>
      <c r="F182" s="17">
        <v>108.9</v>
      </c>
      <c r="G182" s="18">
        <f>ROUND(E182*F182,2)</f>
        <v>152.46</v>
      </c>
      <c r="ZZ182" t="s">
        <v>12</v>
      </c>
      <c r="AAA182" s="12" t="s">
        <v>436</v>
      </c>
    </row>
    <row r="183" spans="1:703" x14ac:dyDescent="0.3">
      <c r="A183" s="19" t="s">
        <v>437</v>
      </c>
      <c r="B183" s="20" t="s">
        <v>438</v>
      </c>
      <c r="C183" s="15" t="s">
        <v>57</v>
      </c>
      <c r="D183" s="17">
        <v>6.82</v>
      </c>
      <c r="E183" s="56">
        <f t="shared" si="4"/>
        <v>6.82</v>
      </c>
      <c r="F183" s="17">
        <v>128.69999999999999</v>
      </c>
      <c r="G183" s="18">
        <f>ROUND(E183*F183,2)</f>
        <v>877.73</v>
      </c>
      <c r="ZZ183" t="s">
        <v>12</v>
      </c>
      <c r="AAA183" s="12" t="s">
        <v>439</v>
      </c>
    </row>
    <row r="184" spans="1:703" x14ac:dyDescent="0.3">
      <c r="A184" s="30" t="s">
        <v>440</v>
      </c>
      <c r="B184" s="31" t="s">
        <v>441</v>
      </c>
      <c r="C184" s="10"/>
      <c r="D184" s="10"/>
      <c r="E184" s="56"/>
      <c r="F184" s="10"/>
      <c r="G184" s="11"/>
      <c r="ZZ184" t="s">
        <v>141</v>
      </c>
      <c r="AAA184" s="12"/>
    </row>
    <row r="185" spans="1:703" x14ac:dyDescent="0.3">
      <c r="A185" s="19" t="s">
        <v>442</v>
      </c>
      <c r="B185" s="20" t="s">
        <v>443</v>
      </c>
      <c r="C185" s="15" t="s">
        <v>1</v>
      </c>
      <c r="D185" s="16">
        <v>1</v>
      </c>
      <c r="E185" s="56">
        <f t="shared" si="4"/>
        <v>1</v>
      </c>
      <c r="F185" s="17">
        <v>102.75</v>
      </c>
      <c r="G185" s="18">
        <f>ROUND(E185*F185,2)</f>
        <v>102.75</v>
      </c>
      <c r="ZZ185" t="s">
        <v>12</v>
      </c>
      <c r="AAA185" s="12" t="s">
        <v>444</v>
      </c>
    </row>
    <row r="186" spans="1:703" x14ac:dyDescent="0.3">
      <c r="A186" s="30" t="s">
        <v>445</v>
      </c>
      <c r="B186" s="31" t="s">
        <v>446</v>
      </c>
      <c r="C186" s="10"/>
      <c r="D186" s="10"/>
      <c r="E186" s="56"/>
      <c r="F186" s="10"/>
      <c r="G186" s="11"/>
      <c r="ZZ186" t="s">
        <v>141</v>
      </c>
      <c r="AAA186" s="12"/>
    </row>
    <row r="187" spans="1:703" x14ac:dyDescent="0.3">
      <c r="A187" s="19" t="s">
        <v>447</v>
      </c>
      <c r="B187" s="20" t="s">
        <v>448</v>
      </c>
      <c r="C187" s="15" t="s">
        <v>26</v>
      </c>
      <c r="D187" s="24">
        <v>57.7</v>
      </c>
      <c r="E187" s="56">
        <f t="shared" si="4"/>
        <v>57.7</v>
      </c>
      <c r="F187" s="17">
        <v>100.36</v>
      </c>
      <c r="G187" s="18">
        <f>ROUND(E187*F187,2)</f>
        <v>5790.77</v>
      </c>
      <c r="ZZ187" t="s">
        <v>12</v>
      </c>
      <c r="AAA187" s="12" t="s">
        <v>449</v>
      </c>
    </row>
    <row r="188" spans="1:703" x14ac:dyDescent="0.3">
      <c r="A188" s="30" t="s">
        <v>450</v>
      </c>
      <c r="B188" s="31" t="s">
        <v>451</v>
      </c>
      <c r="C188" s="10"/>
      <c r="D188" s="10"/>
      <c r="E188" s="56"/>
      <c r="F188" s="10"/>
      <c r="G188" s="11"/>
      <c r="ZZ188" t="s">
        <v>141</v>
      </c>
      <c r="AAA188" s="12"/>
    </row>
    <row r="189" spans="1:703" x14ac:dyDescent="0.3">
      <c r="A189" s="19" t="s">
        <v>452</v>
      </c>
      <c r="B189" s="20" t="s">
        <v>453</v>
      </c>
      <c r="C189" s="15" t="s">
        <v>26</v>
      </c>
      <c r="D189" s="24">
        <v>2.4</v>
      </c>
      <c r="E189" s="56">
        <f t="shared" si="4"/>
        <v>2.4</v>
      </c>
      <c r="F189" s="17">
        <v>202.97</v>
      </c>
      <c r="G189" s="18">
        <f>ROUND(E189*F189,2)</f>
        <v>487.13</v>
      </c>
      <c r="ZZ189" t="s">
        <v>12</v>
      </c>
      <c r="AAA189" s="12" t="s">
        <v>454</v>
      </c>
    </row>
    <row r="190" spans="1:703" x14ac:dyDescent="0.3">
      <c r="A190" s="30" t="s">
        <v>455</v>
      </c>
      <c r="B190" s="31" t="s">
        <v>456</v>
      </c>
      <c r="C190" s="10"/>
      <c r="D190" s="10"/>
      <c r="E190" s="56"/>
      <c r="F190" s="10"/>
      <c r="G190" s="11"/>
      <c r="ZZ190" t="s">
        <v>141</v>
      </c>
      <c r="AAA190" s="12"/>
    </row>
    <row r="191" spans="1:703" x14ac:dyDescent="0.3">
      <c r="A191" s="19" t="s">
        <v>457</v>
      </c>
      <c r="B191" s="20" t="s">
        <v>458</v>
      </c>
      <c r="C191" s="15" t="s">
        <v>26</v>
      </c>
      <c r="D191" s="24">
        <v>45.7</v>
      </c>
      <c r="E191" s="56">
        <f t="shared" si="4"/>
        <v>45.7</v>
      </c>
      <c r="F191" s="17">
        <v>153.19999999999999</v>
      </c>
      <c r="G191" s="18">
        <f>ROUND(E191*F191,2)</f>
        <v>7001.24</v>
      </c>
      <c r="ZZ191" t="s">
        <v>12</v>
      </c>
      <c r="AAA191" s="12" t="s">
        <v>459</v>
      </c>
    </row>
    <row r="192" spans="1:703" x14ac:dyDescent="0.3">
      <c r="A192" s="19" t="s">
        <v>460</v>
      </c>
      <c r="B192" s="20" t="s">
        <v>461</v>
      </c>
      <c r="C192" s="15" t="s">
        <v>26</v>
      </c>
      <c r="D192" s="24">
        <v>3.3</v>
      </c>
      <c r="E192" s="56">
        <f t="shared" si="4"/>
        <v>3.3</v>
      </c>
      <c r="F192" s="17">
        <v>138.66999999999999</v>
      </c>
      <c r="G192" s="18">
        <f>ROUND(E192*F192,2)</f>
        <v>457.61</v>
      </c>
      <c r="ZZ192" t="s">
        <v>12</v>
      </c>
      <c r="AAA192" s="12" t="s">
        <v>462</v>
      </c>
    </row>
    <row r="193" spans="1:703" x14ac:dyDescent="0.3">
      <c r="A193" s="30" t="s">
        <v>463</v>
      </c>
      <c r="B193" s="31" t="s">
        <v>464</v>
      </c>
      <c r="C193" s="10"/>
      <c r="D193" s="10"/>
      <c r="E193" s="56"/>
      <c r="F193" s="10"/>
      <c r="G193" s="11"/>
      <c r="ZZ193" t="s">
        <v>141</v>
      </c>
      <c r="AAA193" s="12"/>
    </row>
    <row r="194" spans="1:703" x14ac:dyDescent="0.3">
      <c r="A194" s="19" t="s">
        <v>465</v>
      </c>
      <c r="B194" s="20" t="s">
        <v>466</v>
      </c>
      <c r="C194" s="15" t="s">
        <v>1</v>
      </c>
      <c r="D194" s="16">
        <v>2</v>
      </c>
      <c r="E194" s="56">
        <f t="shared" si="4"/>
        <v>2</v>
      </c>
      <c r="F194" s="17">
        <v>249.82</v>
      </c>
      <c r="G194" s="18">
        <f>ROUND(E194*F194,2)</f>
        <v>499.64</v>
      </c>
      <c r="ZZ194" t="s">
        <v>12</v>
      </c>
      <c r="AAA194" s="12" t="s">
        <v>467</v>
      </c>
    </row>
    <row r="195" spans="1:703" x14ac:dyDescent="0.3">
      <c r="A195" s="30" t="s">
        <v>468</v>
      </c>
      <c r="B195" s="31" t="s">
        <v>469</v>
      </c>
      <c r="C195" s="10"/>
      <c r="D195" s="10"/>
      <c r="E195" s="56"/>
      <c r="F195" s="10"/>
      <c r="G195" s="11"/>
      <c r="ZZ195" t="s">
        <v>141</v>
      </c>
      <c r="AAA195" s="12"/>
    </row>
    <row r="196" spans="1:703" x14ac:dyDescent="0.3">
      <c r="A196" s="30" t="s">
        <v>470</v>
      </c>
      <c r="B196" s="31" t="s">
        <v>471</v>
      </c>
      <c r="C196" s="10"/>
      <c r="D196" s="10"/>
      <c r="E196" s="56"/>
      <c r="F196" s="10"/>
      <c r="G196" s="11"/>
      <c r="ZZ196" t="s">
        <v>141</v>
      </c>
      <c r="AAA196" s="12"/>
    </row>
    <row r="197" spans="1:703" ht="26.4" x14ac:dyDescent="0.3">
      <c r="A197" s="19" t="s">
        <v>472</v>
      </c>
      <c r="B197" s="20" t="s">
        <v>473</v>
      </c>
      <c r="C197" s="15" t="s">
        <v>1</v>
      </c>
      <c r="D197" s="16">
        <v>10</v>
      </c>
      <c r="E197" s="56">
        <f t="shared" si="4"/>
        <v>10</v>
      </c>
      <c r="F197" s="17">
        <v>59.4</v>
      </c>
      <c r="G197" s="18">
        <f>ROUND(E197*F197,2)</f>
        <v>594</v>
      </c>
      <c r="ZZ197" t="s">
        <v>12</v>
      </c>
      <c r="AAA197" s="12" t="s">
        <v>474</v>
      </c>
    </row>
    <row r="198" spans="1:703" ht="26.4" x14ac:dyDescent="0.3">
      <c r="A198" s="19" t="s">
        <v>475</v>
      </c>
      <c r="B198" s="20" t="s">
        <v>476</v>
      </c>
      <c r="C198" s="15" t="s">
        <v>1</v>
      </c>
      <c r="D198" s="16">
        <v>4</v>
      </c>
      <c r="E198" s="56">
        <f t="shared" ref="E198:E261" si="6">D198</f>
        <v>4</v>
      </c>
      <c r="F198" s="17">
        <v>78.28</v>
      </c>
      <c r="G198" s="18">
        <f>ROUND(E198*F198,2)</f>
        <v>313.12</v>
      </c>
      <c r="ZZ198" t="s">
        <v>12</v>
      </c>
      <c r="AAA198" s="12" t="s">
        <v>477</v>
      </c>
    </row>
    <row r="199" spans="1:703" x14ac:dyDescent="0.3">
      <c r="A199" s="21"/>
      <c r="B199" s="22"/>
      <c r="C199" s="10"/>
      <c r="D199" s="10"/>
      <c r="E199" s="56"/>
      <c r="F199" s="10"/>
      <c r="G199" s="23"/>
    </row>
    <row r="200" spans="1:703" ht="26.4" x14ac:dyDescent="0.3">
      <c r="A200" s="54"/>
      <c r="B200" s="32" t="s">
        <v>478</v>
      </c>
      <c r="C200" s="33"/>
      <c r="D200" s="33"/>
      <c r="E200" s="33"/>
      <c r="F200" s="33"/>
      <c r="G200" s="34">
        <f>SUBTOTAL(109,G120:G199)</f>
        <v>265099.61000000004</v>
      </c>
      <c r="H200" s="35"/>
      <c r="ZZ200" t="s">
        <v>18</v>
      </c>
    </row>
    <row r="201" spans="1:703" x14ac:dyDescent="0.3">
      <c r="A201" s="1"/>
      <c r="B201" s="6"/>
      <c r="C201" s="10"/>
      <c r="D201" s="10"/>
      <c r="E201" s="56"/>
      <c r="F201" s="10"/>
      <c r="G201" s="8"/>
    </row>
    <row r="202" spans="1:703" ht="26.4" x14ac:dyDescent="0.3">
      <c r="A202" s="53" t="s">
        <v>479</v>
      </c>
      <c r="B202" s="9" t="s">
        <v>480</v>
      </c>
      <c r="C202" s="10"/>
      <c r="D202" s="10"/>
      <c r="E202" s="56"/>
      <c r="F202" s="10"/>
      <c r="G202" s="11"/>
      <c r="ZZ202" t="s">
        <v>8</v>
      </c>
      <c r="AAA202" s="12"/>
    </row>
    <row r="203" spans="1:703" x14ac:dyDescent="0.3">
      <c r="A203" s="13" t="s">
        <v>481</v>
      </c>
      <c r="B203" s="14" t="s">
        <v>482</v>
      </c>
      <c r="C203" s="15" t="s">
        <v>57</v>
      </c>
      <c r="D203" s="17">
        <v>338.65</v>
      </c>
      <c r="E203" s="56">
        <f t="shared" si="6"/>
        <v>338.65</v>
      </c>
      <c r="F203" s="17">
        <v>12.18</v>
      </c>
      <c r="G203" s="18">
        <f>ROUND(E203*F203,2)</f>
        <v>4124.76</v>
      </c>
      <c r="ZZ203" t="s">
        <v>12</v>
      </c>
      <c r="AAA203" s="12" t="s">
        <v>483</v>
      </c>
    </row>
    <row r="204" spans="1:703" x14ac:dyDescent="0.3">
      <c r="A204" s="21"/>
      <c r="B204" s="22"/>
      <c r="C204" s="10"/>
      <c r="D204" s="10"/>
      <c r="E204" s="56"/>
      <c r="F204" s="10"/>
      <c r="G204" s="23"/>
    </row>
    <row r="205" spans="1:703" ht="26.4" x14ac:dyDescent="0.3">
      <c r="A205" s="54"/>
      <c r="B205" s="32" t="s">
        <v>484</v>
      </c>
      <c r="C205" s="33"/>
      <c r="D205" s="33"/>
      <c r="E205" s="33"/>
      <c r="F205" s="33"/>
      <c r="G205" s="34">
        <f>SUBTOTAL(109,G203:G204)</f>
        <v>4124.76</v>
      </c>
      <c r="H205" s="35"/>
      <c r="ZZ205" t="s">
        <v>18</v>
      </c>
    </row>
    <row r="206" spans="1:703" x14ac:dyDescent="0.3">
      <c r="A206" s="1"/>
      <c r="B206" s="6"/>
      <c r="C206" s="10"/>
      <c r="D206" s="10"/>
      <c r="E206" s="56"/>
      <c r="F206" s="10"/>
      <c r="G206" s="8"/>
    </row>
    <row r="207" spans="1:703" x14ac:dyDescent="0.3">
      <c r="A207" s="53" t="s">
        <v>485</v>
      </c>
      <c r="B207" s="9" t="s">
        <v>486</v>
      </c>
      <c r="C207" s="10"/>
      <c r="D207" s="10"/>
      <c r="E207" s="56"/>
      <c r="F207" s="10"/>
      <c r="G207" s="11"/>
      <c r="ZZ207" t="s">
        <v>8</v>
      </c>
      <c r="AAA207" s="12"/>
    </row>
    <row r="208" spans="1:703" ht="39.6" x14ac:dyDescent="0.3">
      <c r="A208" s="25" t="s">
        <v>487</v>
      </c>
      <c r="B208" s="26" t="s">
        <v>488</v>
      </c>
      <c r="C208" s="10"/>
      <c r="D208" s="10"/>
      <c r="E208" s="56"/>
      <c r="F208" s="10"/>
      <c r="G208" s="11"/>
      <c r="ZZ208" t="s">
        <v>39</v>
      </c>
      <c r="AAA208" s="12"/>
    </row>
    <row r="209" spans="1:703" ht="26.4" x14ac:dyDescent="0.3">
      <c r="A209" s="19" t="s">
        <v>489</v>
      </c>
      <c r="B209" s="20" t="s">
        <v>490</v>
      </c>
      <c r="C209" s="15" t="s">
        <v>57</v>
      </c>
      <c r="D209" s="17">
        <v>10.36</v>
      </c>
      <c r="E209" s="56">
        <f t="shared" si="6"/>
        <v>10.36</v>
      </c>
      <c r="F209" s="17">
        <v>24.02</v>
      </c>
      <c r="G209" s="18">
        <f>ROUND(E209*F209,2)</f>
        <v>248.85</v>
      </c>
      <c r="ZZ209" t="s">
        <v>12</v>
      </c>
      <c r="AAA209" s="12" t="s">
        <v>491</v>
      </c>
    </row>
    <row r="210" spans="1:703" ht="26.4" x14ac:dyDescent="0.3">
      <c r="A210" s="28" t="s">
        <v>492</v>
      </c>
      <c r="B210" s="29" t="s">
        <v>493</v>
      </c>
      <c r="C210" s="10"/>
      <c r="D210" s="10"/>
      <c r="E210" s="56"/>
      <c r="F210" s="10"/>
      <c r="G210" s="11"/>
      <c r="ZZ210" t="s">
        <v>39</v>
      </c>
      <c r="AAA210" s="12"/>
    </row>
    <row r="211" spans="1:703" ht="26.4" x14ac:dyDescent="0.3">
      <c r="A211" s="19" t="s">
        <v>494</v>
      </c>
      <c r="B211" s="20" t="s">
        <v>495</v>
      </c>
      <c r="C211" s="15" t="s">
        <v>26</v>
      </c>
      <c r="D211" s="24">
        <v>5</v>
      </c>
      <c r="E211" s="56">
        <f t="shared" si="6"/>
        <v>5</v>
      </c>
      <c r="F211" s="17">
        <v>161.04</v>
      </c>
      <c r="G211" s="18">
        <f>ROUND(E211*F211,2)</f>
        <v>805.2</v>
      </c>
      <c r="ZZ211" t="s">
        <v>12</v>
      </c>
      <c r="AAA211" s="12" t="s">
        <v>496</v>
      </c>
    </row>
    <row r="212" spans="1:703" ht="26.4" x14ac:dyDescent="0.3">
      <c r="A212" s="19" t="s">
        <v>497</v>
      </c>
      <c r="B212" s="20" t="s">
        <v>498</v>
      </c>
      <c r="C212" s="15" t="s">
        <v>26</v>
      </c>
      <c r="D212" s="24">
        <v>5.4</v>
      </c>
      <c r="E212" s="56">
        <f t="shared" si="6"/>
        <v>5.4</v>
      </c>
      <c r="F212" s="17">
        <v>125.4</v>
      </c>
      <c r="G212" s="18">
        <f>ROUND(E212*F212,2)</f>
        <v>677.16</v>
      </c>
      <c r="ZZ212" t="s">
        <v>12</v>
      </c>
      <c r="AAA212" s="12" t="s">
        <v>499</v>
      </c>
    </row>
    <row r="213" spans="1:703" x14ac:dyDescent="0.3">
      <c r="A213" s="21"/>
      <c r="B213" s="22"/>
      <c r="C213" s="10"/>
      <c r="D213" s="10"/>
      <c r="E213" s="56"/>
      <c r="F213" s="10"/>
      <c r="G213" s="23"/>
    </row>
    <row r="214" spans="1:703" x14ac:dyDescent="0.3">
      <c r="A214" s="54"/>
      <c r="B214" s="32" t="s">
        <v>500</v>
      </c>
      <c r="C214" s="33"/>
      <c r="D214" s="33"/>
      <c r="E214" s="33"/>
      <c r="F214" s="33"/>
      <c r="G214" s="34">
        <f>SUBTOTAL(109,G208:G213)</f>
        <v>1731.21</v>
      </c>
      <c r="H214" s="35"/>
      <c r="ZZ214" t="s">
        <v>18</v>
      </c>
    </row>
    <row r="215" spans="1:703" x14ac:dyDescent="0.3">
      <c r="A215" s="1"/>
      <c r="B215" s="6"/>
      <c r="C215" s="10"/>
      <c r="D215" s="10"/>
      <c r="E215" s="56"/>
      <c r="F215" s="10"/>
      <c r="G215" s="8"/>
    </row>
    <row r="216" spans="1:703" ht="26.4" x14ac:dyDescent="0.3">
      <c r="A216" s="53" t="s">
        <v>501</v>
      </c>
      <c r="B216" s="9" t="s">
        <v>502</v>
      </c>
      <c r="C216" s="10"/>
      <c r="D216" s="10"/>
      <c r="E216" s="56"/>
      <c r="F216" s="10"/>
      <c r="G216" s="11"/>
      <c r="ZZ216" t="s">
        <v>8</v>
      </c>
      <c r="AAA216" s="12"/>
    </row>
    <row r="217" spans="1:703" x14ac:dyDescent="0.3">
      <c r="A217" s="25" t="s">
        <v>503</v>
      </c>
      <c r="B217" s="26" t="s">
        <v>504</v>
      </c>
      <c r="C217" s="10"/>
      <c r="D217" s="10"/>
      <c r="E217" s="56"/>
      <c r="F217" s="10"/>
      <c r="G217" s="11"/>
      <c r="ZZ217" t="s">
        <v>39</v>
      </c>
      <c r="AAA217" s="12"/>
    </row>
    <row r="218" spans="1:703" x14ac:dyDescent="0.3">
      <c r="A218" s="19" t="s">
        <v>505</v>
      </c>
      <c r="B218" s="20" t="s">
        <v>506</v>
      </c>
      <c r="C218" s="15" t="s">
        <v>26</v>
      </c>
      <c r="D218" s="24">
        <v>6.8</v>
      </c>
      <c r="E218" s="56">
        <f t="shared" si="6"/>
        <v>6.8</v>
      </c>
      <c r="F218" s="17">
        <v>332.4</v>
      </c>
      <c r="G218" s="18">
        <f>ROUND(E218*F218,2)</f>
        <v>2260.3200000000002</v>
      </c>
      <c r="ZZ218" t="s">
        <v>12</v>
      </c>
      <c r="AAA218" s="12" t="s">
        <v>507</v>
      </c>
    </row>
    <row r="219" spans="1:703" ht="26.4" x14ac:dyDescent="0.3">
      <c r="A219" s="19" t="s">
        <v>508</v>
      </c>
      <c r="B219" s="20" t="s">
        <v>509</v>
      </c>
      <c r="C219" s="15" t="s">
        <v>26</v>
      </c>
      <c r="D219" s="24">
        <v>39.4</v>
      </c>
      <c r="E219" s="56">
        <f t="shared" si="6"/>
        <v>39.4</v>
      </c>
      <c r="F219" s="17">
        <v>138.5</v>
      </c>
      <c r="G219" s="18">
        <f>ROUND(E219*F219,2)</f>
        <v>5456.9</v>
      </c>
      <c r="ZZ219" t="s">
        <v>12</v>
      </c>
      <c r="AAA219" s="12" t="s">
        <v>510</v>
      </c>
    </row>
    <row r="220" spans="1:703" x14ac:dyDescent="0.3">
      <c r="A220" s="28" t="s">
        <v>511</v>
      </c>
      <c r="B220" s="29" t="s">
        <v>512</v>
      </c>
      <c r="C220" s="10"/>
      <c r="D220" s="10"/>
      <c r="E220" s="56"/>
      <c r="F220" s="10"/>
      <c r="G220" s="11"/>
      <c r="ZZ220" t="s">
        <v>39</v>
      </c>
      <c r="AAA220" s="12"/>
    </row>
    <row r="221" spans="1:703" ht="26.4" x14ac:dyDescent="0.3">
      <c r="A221" s="19" t="s">
        <v>513</v>
      </c>
      <c r="B221" s="20" t="s">
        <v>514</v>
      </c>
      <c r="C221" s="15" t="s">
        <v>26</v>
      </c>
      <c r="D221" s="24">
        <v>11.2</v>
      </c>
      <c r="E221" s="56">
        <f t="shared" si="6"/>
        <v>11.2</v>
      </c>
      <c r="F221" s="17">
        <v>198.45</v>
      </c>
      <c r="G221" s="18">
        <f>ROUND(E221*F221,2)</f>
        <v>2222.64</v>
      </c>
      <c r="ZZ221" t="s">
        <v>12</v>
      </c>
      <c r="AAA221" s="12" t="s">
        <v>515</v>
      </c>
    </row>
    <row r="222" spans="1:703" x14ac:dyDescent="0.3">
      <c r="A222" s="28" t="s">
        <v>516</v>
      </c>
      <c r="B222" s="29" t="s">
        <v>517</v>
      </c>
      <c r="C222" s="10"/>
      <c r="D222" s="10"/>
      <c r="E222" s="56"/>
      <c r="F222" s="10"/>
      <c r="G222" s="11"/>
      <c r="ZZ222" t="s">
        <v>39</v>
      </c>
      <c r="AAA222" s="12"/>
    </row>
    <row r="223" spans="1:703" ht="26.4" x14ac:dyDescent="0.3">
      <c r="A223" s="19" t="s">
        <v>518</v>
      </c>
      <c r="B223" s="20" t="s">
        <v>519</v>
      </c>
      <c r="C223" s="15" t="s">
        <v>26</v>
      </c>
      <c r="D223" s="24">
        <v>5.5</v>
      </c>
      <c r="E223" s="56">
        <f t="shared" si="6"/>
        <v>5.5</v>
      </c>
      <c r="F223" s="17">
        <v>114.2</v>
      </c>
      <c r="G223" s="18">
        <f>ROUND(E223*F223,2)</f>
        <v>628.1</v>
      </c>
      <c r="ZZ223" t="s">
        <v>12</v>
      </c>
      <c r="AAA223" s="12" t="s">
        <v>520</v>
      </c>
    </row>
    <row r="224" spans="1:703" ht="26.4" x14ac:dyDescent="0.3">
      <c r="A224" s="19" t="s">
        <v>521</v>
      </c>
      <c r="B224" s="20" t="s">
        <v>522</v>
      </c>
      <c r="C224" s="15" t="s">
        <v>26</v>
      </c>
      <c r="D224" s="24">
        <v>17.8</v>
      </c>
      <c r="E224" s="56">
        <f t="shared" si="6"/>
        <v>17.8</v>
      </c>
      <c r="F224" s="17">
        <v>163.13999999999999</v>
      </c>
      <c r="G224" s="18">
        <f>ROUND(E224*F224,2)</f>
        <v>2903.89</v>
      </c>
      <c r="ZZ224" t="s">
        <v>12</v>
      </c>
      <c r="AAA224" s="12" t="s">
        <v>523</v>
      </c>
    </row>
    <row r="225" spans="1:703" ht="26.4" x14ac:dyDescent="0.3">
      <c r="A225" s="19" t="s">
        <v>524</v>
      </c>
      <c r="B225" s="20" t="s">
        <v>525</v>
      </c>
      <c r="C225" s="15" t="s">
        <v>26</v>
      </c>
      <c r="D225" s="24">
        <v>6.7</v>
      </c>
      <c r="E225" s="56">
        <f t="shared" si="6"/>
        <v>6.7</v>
      </c>
      <c r="F225" s="17">
        <v>592.19000000000005</v>
      </c>
      <c r="G225" s="18">
        <f>ROUND(E225*F225,2)</f>
        <v>3967.67</v>
      </c>
      <c r="ZZ225" t="s">
        <v>12</v>
      </c>
      <c r="AAA225" s="12" t="s">
        <v>526</v>
      </c>
    </row>
    <row r="226" spans="1:703" ht="26.4" x14ac:dyDescent="0.3">
      <c r="A226" s="19" t="s">
        <v>527</v>
      </c>
      <c r="B226" s="20" t="s">
        <v>528</v>
      </c>
      <c r="C226" s="15" t="s">
        <v>26</v>
      </c>
      <c r="D226" s="24">
        <v>12.2</v>
      </c>
      <c r="E226" s="56">
        <f t="shared" si="6"/>
        <v>12.2</v>
      </c>
      <c r="F226" s="17">
        <v>592.19000000000005</v>
      </c>
      <c r="G226" s="18">
        <f>ROUND(E226*F226,2)</f>
        <v>7224.72</v>
      </c>
      <c r="ZZ226" t="s">
        <v>12</v>
      </c>
      <c r="AAA226" s="12" t="s">
        <v>529</v>
      </c>
    </row>
    <row r="227" spans="1:703" x14ac:dyDescent="0.3">
      <c r="A227" s="28" t="s">
        <v>530</v>
      </c>
      <c r="B227" s="29" t="s">
        <v>531</v>
      </c>
      <c r="C227" s="10"/>
      <c r="D227" s="10"/>
      <c r="E227" s="56"/>
      <c r="F227" s="10"/>
      <c r="G227" s="11"/>
      <c r="ZZ227" t="s">
        <v>39</v>
      </c>
      <c r="AAA227" s="12"/>
    </row>
    <row r="228" spans="1:703" ht="26.4" x14ac:dyDescent="0.3">
      <c r="A228" s="19" t="s">
        <v>532</v>
      </c>
      <c r="B228" s="20" t="s">
        <v>533</v>
      </c>
      <c r="C228" s="15" t="s">
        <v>1</v>
      </c>
      <c r="D228" s="16">
        <v>1</v>
      </c>
      <c r="E228" s="56">
        <f t="shared" si="6"/>
        <v>1</v>
      </c>
      <c r="F228" s="17">
        <v>3267</v>
      </c>
      <c r="G228" s="18">
        <f>ROUND(E228*F228,2)</f>
        <v>3267</v>
      </c>
      <c r="ZZ228" t="s">
        <v>12</v>
      </c>
      <c r="AAA228" s="12" t="s">
        <v>534</v>
      </c>
    </row>
    <row r="229" spans="1:703" x14ac:dyDescent="0.3">
      <c r="A229" s="28" t="s">
        <v>535</v>
      </c>
      <c r="B229" s="29" t="s">
        <v>536</v>
      </c>
      <c r="C229" s="10"/>
      <c r="D229" s="10"/>
      <c r="E229" s="56"/>
      <c r="F229" s="10"/>
      <c r="G229" s="11"/>
      <c r="ZZ229" t="s">
        <v>39</v>
      </c>
      <c r="AAA229" s="12"/>
    </row>
    <row r="230" spans="1:703" x14ac:dyDescent="0.3">
      <c r="A230" s="19" t="s">
        <v>537</v>
      </c>
      <c r="B230" s="20" t="s">
        <v>538</v>
      </c>
      <c r="C230" s="15" t="s">
        <v>57</v>
      </c>
      <c r="D230" s="17">
        <v>15.42</v>
      </c>
      <c r="E230" s="56">
        <f t="shared" si="6"/>
        <v>15.42</v>
      </c>
      <c r="F230" s="17">
        <v>40.869999999999997</v>
      </c>
      <c r="G230" s="18">
        <f>ROUND(E230*F230,2)</f>
        <v>630.22</v>
      </c>
      <c r="ZZ230" t="s">
        <v>12</v>
      </c>
      <c r="AAA230" s="12" t="s">
        <v>539</v>
      </c>
    </row>
    <row r="231" spans="1:703" x14ac:dyDescent="0.3">
      <c r="A231" s="21"/>
      <c r="B231" s="22"/>
      <c r="C231" s="10"/>
      <c r="D231" s="10"/>
      <c r="E231" s="56"/>
      <c r="F231" s="10"/>
      <c r="G231" s="23"/>
    </row>
    <row r="232" spans="1:703" ht="26.4" x14ac:dyDescent="0.3">
      <c r="A232" s="54"/>
      <c r="B232" s="32" t="s">
        <v>540</v>
      </c>
      <c r="C232" s="33"/>
      <c r="D232" s="33"/>
      <c r="E232" s="33"/>
      <c r="F232" s="33"/>
      <c r="G232" s="34">
        <f>SUBTOTAL(109,G217:G231)</f>
        <v>28561.46</v>
      </c>
      <c r="H232" s="35"/>
      <c r="ZZ232" t="s">
        <v>18</v>
      </c>
    </row>
    <row r="233" spans="1:703" ht="30" customHeight="1" x14ac:dyDescent="0.3">
      <c r="A233" s="55"/>
      <c r="B233" s="50"/>
      <c r="C233" s="51"/>
      <c r="D233" s="51"/>
      <c r="E233" s="51"/>
      <c r="F233" s="51"/>
      <c r="G233" s="52"/>
    </row>
    <row r="234" spans="1:703" x14ac:dyDescent="0.3">
      <c r="A234" s="53" t="s">
        <v>541</v>
      </c>
      <c r="B234" s="9" t="s">
        <v>542</v>
      </c>
      <c r="C234" s="10"/>
      <c r="D234" s="10"/>
      <c r="E234" s="56"/>
      <c r="F234" s="10"/>
      <c r="G234" s="11"/>
      <c r="ZZ234" t="s">
        <v>8</v>
      </c>
      <c r="AAA234" s="12"/>
    </row>
    <row r="235" spans="1:703" x14ac:dyDescent="0.3">
      <c r="A235" s="25" t="s">
        <v>543</v>
      </c>
      <c r="B235" s="26" t="s">
        <v>38</v>
      </c>
      <c r="C235" s="10"/>
      <c r="D235" s="10"/>
      <c r="E235" s="56"/>
      <c r="F235" s="10"/>
      <c r="G235" s="11"/>
      <c r="ZZ235" t="s">
        <v>39</v>
      </c>
      <c r="AAA235" s="12"/>
    </row>
    <row r="236" spans="1:703" x14ac:dyDescent="0.3">
      <c r="A236" s="19" t="s">
        <v>544</v>
      </c>
      <c r="B236" s="20" t="s">
        <v>41</v>
      </c>
      <c r="C236" s="15" t="s">
        <v>42</v>
      </c>
      <c r="D236" s="27">
        <v>13.468</v>
      </c>
      <c r="E236" s="57">
        <f t="shared" si="6"/>
        <v>13.468</v>
      </c>
      <c r="F236" s="17">
        <v>17.25</v>
      </c>
      <c r="G236" s="18">
        <f>ROUND(E236*F236,2)</f>
        <v>232.32</v>
      </c>
      <c r="ZZ236" t="s">
        <v>12</v>
      </c>
      <c r="AAA236" s="12" t="s">
        <v>545</v>
      </c>
    </row>
    <row r="237" spans="1:703" x14ac:dyDescent="0.3">
      <c r="A237" s="19" t="s">
        <v>546</v>
      </c>
      <c r="B237" s="20" t="s">
        <v>45</v>
      </c>
      <c r="C237" s="15" t="s">
        <v>42</v>
      </c>
      <c r="D237" s="27">
        <v>82.46</v>
      </c>
      <c r="E237" s="56">
        <f t="shared" si="6"/>
        <v>82.46</v>
      </c>
      <c r="F237" s="17">
        <v>17.25</v>
      </c>
      <c r="G237" s="18">
        <f>ROUND(E237*F237,2)</f>
        <v>1422.44</v>
      </c>
      <c r="ZZ237" t="s">
        <v>12</v>
      </c>
      <c r="AAA237" s="12" t="s">
        <v>547</v>
      </c>
    </row>
    <row r="238" spans="1:703" x14ac:dyDescent="0.3">
      <c r="A238" s="19" t="s">
        <v>548</v>
      </c>
      <c r="B238" s="20" t="s">
        <v>48</v>
      </c>
      <c r="C238" s="15" t="s">
        <v>42</v>
      </c>
      <c r="D238" s="27">
        <v>95.927999999999997</v>
      </c>
      <c r="E238" s="57">
        <f t="shared" si="6"/>
        <v>95.927999999999997</v>
      </c>
      <c r="F238" s="17">
        <v>33.770000000000003</v>
      </c>
      <c r="G238" s="18">
        <f>ROUND(E238*F238,2)</f>
        <v>3239.49</v>
      </c>
      <c r="ZZ238" t="s">
        <v>12</v>
      </c>
      <c r="AAA238" s="12" t="s">
        <v>549</v>
      </c>
    </row>
    <row r="239" spans="1:703" x14ac:dyDescent="0.3">
      <c r="A239" s="28" t="s">
        <v>550</v>
      </c>
      <c r="B239" s="29" t="s">
        <v>51</v>
      </c>
      <c r="C239" s="10"/>
      <c r="D239" s="10"/>
      <c r="E239" s="56"/>
      <c r="F239" s="10"/>
      <c r="G239" s="11"/>
      <c r="ZZ239" t="s">
        <v>39</v>
      </c>
      <c r="AAA239" s="12"/>
    </row>
    <row r="240" spans="1:703" x14ac:dyDescent="0.3">
      <c r="A240" s="19" t="s">
        <v>551</v>
      </c>
      <c r="B240" s="20" t="s">
        <v>53</v>
      </c>
      <c r="C240" s="15" t="s">
        <v>42</v>
      </c>
      <c r="D240" s="27">
        <v>28.091999999999999</v>
      </c>
      <c r="E240" s="57">
        <f t="shared" si="6"/>
        <v>28.091999999999999</v>
      </c>
      <c r="F240" s="17">
        <v>176.65</v>
      </c>
      <c r="G240" s="18">
        <f>ROUND(E240*F240,2)</f>
        <v>4962.45</v>
      </c>
      <c r="ZZ240" t="s">
        <v>12</v>
      </c>
      <c r="AAA240" s="12" t="s">
        <v>552</v>
      </c>
    </row>
    <row r="241" spans="1:703" x14ac:dyDescent="0.3">
      <c r="A241" s="19" t="s">
        <v>553</v>
      </c>
      <c r="B241" s="20" t="s">
        <v>56</v>
      </c>
      <c r="C241" s="15" t="s">
        <v>57</v>
      </c>
      <c r="D241" s="17">
        <v>115.89</v>
      </c>
      <c r="E241" s="56">
        <f t="shared" si="6"/>
        <v>115.89</v>
      </c>
      <c r="F241" s="17">
        <v>13.12</v>
      </c>
      <c r="G241" s="18">
        <f>ROUND(E241*F241,2)</f>
        <v>1520.48</v>
      </c>
      <c r="ZZ241" t="s">
        <v>12</v>
      </c>
      <c r="AAA241" s="12" t="s">
        <v>554</v>
      </c>
    </row>
    <row r="242" spans="1:703" x14ac:dyDescent="0.3">
      <c r="A242" s="28" t="s">
        <v>555</v>
      </c>
      <c r="B242" s="29" t="s">
        <v>60</v>
      </c>
      <c r="C242" s="10"/>
      <c r="D242" s="10"/>
      <c r="E242" s="56"/>
      <c r="F242" s="10"/>
      <c r="G242" s="11"/>
      <c r="ZZ242" t="s">
        <v>39</v>
      </c>
      <c r="AAA242" s="12"/>
    </row>
    <row r="243" spans="1:703" x14ac:dyDescent="0.3">
      <c r="A243" s="19" t="s">
        <v>556</v>
      </c>
      <c r="B243" s="20" t="s">
        <v>62</v>
      </c>
      <c r="C243" s="15" t="s">
        <v>57</v>
      </c>
      <c r="D243" s="17">
        <v>27.32</v>
      </c>
      <c r="E243" s="56">
        <f t="shared" si="6"/>
        <v>27.32</v>
      </c>
      <c r="F243" s="17">
        <v>40.92</v>
      </c>
      <c r="G243" s="18">
        <f>ROUND(E243*F243,2)</f>
        <v>1117.93</v>
      </c>
      <c r="ZZ243" t="s">
        <v>12</v>
      </c>
      <c r="AAA243" s="12" t="s">
        <v>557</v>
      </c>
    </row>
    <row r="244" spans="1:703" x14ac:dyDescent="0.3">
      <c r="A244" s="19" t="s">
        <v>558</v>
      </c>
      <c r="B244" s="20" t="s">
        <v>65</v>
      </c>
      <c r="C244" s="15" t="s">
        <v>66</v>
      </c>
      <c r="D244" s="27">
        <v>576.35500000000002</v>
      </c>
      <c r="E244" s="56">
        <f t="shared" si="6"/>
        <v>576.35500000000002</v>
      </c>
      <c r="F244" s="17">
        <v>2.4300000000000002</v>
      </c>
      <c r="G244" s="18">
        <f>ROUND(E244*F244,2)</f>
        <v>1400.54</v>
      </c>
      <c r="ZZ244" t="s">
        <v>12</v>
      </c>
      <c r="AAA244" s="12" t="s">
        <v>559</v>
      </c>
    </row>
    <row r="245" spans="1:703" x14ac:dyDescent="0.3">
      <c r="A245" s="19" t="s">
        <v>560</v>
      </c>
      <c r="B245" s="20" t="s">
        <v>69</v>
      </c>
      <c r="C245" s="15" t="s">
        <v>42</v>
      </c>
      <c r="D245" s="27">
        <v>8.8670000000000009</v>
      </c>
      <c r="E245" s="56">
        <f t="shared" si="6"/>
        <v>8.8670000000000009</v>
      </c>
      <c r="F245" s="17">
        <v>180.61</v>
      </c>
      <c r="G245" s="18">
        <f>ROUND(E245*F245,2)</f>
        <v>1601.47</v>
      </c>
      <c r="ZZ245" t="s">
        <v>12</v>
      </c>
      <c r="AAA245" s="12" t="s">
        <v>561</v>
      </c>
    </row>
    <row r="246" spans="1:703" x14ac:dyDescent="0.3">
      <c r="A246" s="28" t="s">
        <v>562</v>
      </c>
      <c r="B246" s="29" t="s">
        <v>72</v>
      </c>
      <c r="C246" s="10"/>
      <c r="D246" s="10"/>
      <c r="E246" s="56"/>
      <c r="F246" s="10"/>
      <c r="G246" s="11"/>
      <c r="ZZ246" t="s">
        <v>39</v>
      </c>
      <c r="AAA246" s="12"/>
    </row>
    <row r="247" spans="1:703" x14ac:dyDescent="0.3">
      <c r="A247" s="19" t="s">
        <v>563</v>
      </c>
      <c r="B247" s="20" t="s">
        <v>74</v>
      </c>
      <c r="C247" s="15" t="s">
        <v>57</v>
      </c>
      <c r="D247" s="17">
        <v>181.31</v>
      </c>
      <c r="E247" s="56">
        <f t="shared" si="6"/>
        <v>181.31</v>
      </c>
      <c r="F247" s="17">
        <v>20.46</v>
      </c>
      <c r="G247" s="18">
        <f>ROUND(E247*F247,2)</f>
        <v>3709.6</v>
      </c>
      <c r="ZZ247" t="s">
        <v>12</v>
      </c>
      <c r="AAA247" s="12" t="s">
        <v>564</v>
      </c>
    </row>
    <row r="248" spans="1:703" x14ac:dyDescent="0.3">
      <c r="A248" s="19" t="s">
        <v>565</v>
      </c>
      <c r="B248" s="20" t="s">
        <v>77</v>
      </c>
      <c r="C248" s="15" t="s">
        <v>66</v>
      </c>
      <c r="D248" s="27">
        <v>3552.605</v>
      </c>
      <c r="E248" s="56">
        <f t="shared" si="6"/>
        <v>3552.605</v>
      </c>
      <c r="F248" s="17">
        <v>2.4300000000000002</v>
      </c>
      <c r="G248" s="18">
        <f>ROUND(E248*F248,2)</f>
        <v>8632.83</v>
      </c>
      <c r="ZZ248" t="s">
        <v>12</v>
      </c>
      <c r="AAA248" s="12" t="s">
        <v>566</v>
      </c>
    </row>
    <row r="249" spans="1:703" x14ac:dyDescent="0.3">
      <c r="A249" s="19" t="s">
        <v>567</v>
      </c>
      <c r="B249" s="20" t="s">
        <v>80</v>
      </c>
      <c r="C249" s="15" t="s">
        <v>42</v>
      </c>
      <c r="D249" s="27">
        <v>53.18</v>
      </c>
      <c r="E249" s="56">
        <f t="shared" si="6"/>
        <v>53.18</v>
      </c>
      <c r="F249" s="17">
        <v>180.61</v>
      </c>
      <c r="G249" s="18">
        <f>ROUND(E249*F249,2)</f>
        <v>9604.84</v>
      </c>
      <c r="ZZ249" t="s">
        <v>12</v>
      </c>
      <c r="AAA249" s="12" t="s">
        <v>568</v>
      </c>
    </row>
    <row r="250" spans="1:703" x14ac:dyDescent="0.3">
      <c r="A250" s="28" t="s">
        <v>569</v>
      </c>
      <c r="B250" s="29" t="s">
        <v>94</v>
      </c>
      <c r="C250" s="10"/>
      <c r="D250" s="10"/>
      <c r="E250" s="56"/>
      <c r="F250" s="10"/>
      <c r="G250" s="11"/>
      <c r="ZZ250" t="s">
        <v>39</v>
      </c>
      <c r="AAA250" s="12"/>
    </row>
    <row r="251" spans="1:703" x14ac:dyDescent="0.3">
      <c r="A251" s="19" t="s">
        <v>570</v>
      </c>
      <c r="B251" s="20" t="s">
        <v>571</v>
      </c>
      <c r="C251" s="15" t="s">
        <v>57</v>
      </c>
      <c r="D251" s="17">
        <v>692.99</v>
      </c>
      <c r="E251" s="56">
        <f t="shared" si="6"/>
        <v>692.99</v>
      </c>
      <c r="F251" s="17">
        <v>28.64</v>
      </c>
      <c r="G251" s="18">
        <f>ROUND(E251*F251,2)</f>
        <v>19847.23</v>
      </c>
      <c r="ZZ251" t="s">
        <v>12</v>
      </c>
      <c r="AAA251" s="12" t="s">
        <v>572</v>
      </c>
    </row>
    <row r="252" spans="1:703" x14ac:dyDescent="0.3">
      <c r="A252" s="19" t="s">
        <v>573</v>
      </c>
      <c r="B252" s="20" t="s">
        <v>99</v>
      </c>
      <c r="C252" s="15" t="s">
        <v>66</v>
      </c>
      <c r="D252" s="27">
        <v>6236.91</v>
      </c>
      <c r="E252" s="56">
        <f t="shared" si="6"/>
        <v>6236.91</v>
      </c>
      <c r="F252" s="17">
        <v>2.4300000000000002</v>
      </c>
      <c r="G252" s="18">
        <f>ROUND(E252*F252,2)</f>
        <v>15155.69</v>
      </c>
      <c r="ZZ252" t="s">
        <v>12</v>
      </c>
      <c r="AAA252" s="12" t="s">
        <v>574</v>
      </c>
    </row>
    <row r="253" spans="1:703" x14ac:dyDescent="0.3">
      <c r="A253" s="19" t="s">
        <v>575</v>
      </c>
      <c r="B253" s="20" t="s">
        <v>102</v>
      </c>
      <c r="C253" s="15" t="s">
        <v>42</v>
      </c>
      <c r="D253" s="27">
        <v>69.299000000000007</v>
      </c>
      <c r="E253" s="56">
        <f t="shared" si="6"/>
        <v>69.299000000000007</v>
      </c>
      <c r="F253" s="17">
        <v>180.61</v>
      </c>
      <c r="G253" s="18">
        <f>ROUND(E253*F253,2)</f>
        <v>12516.09</v>
      </c>
      <c r="ZZ253" t="s">
        <v>12</v>
      </c>
      <c r="AAA253" s="12" t="s">
        <v>576</v>
      </c>
    </row>
    <row r="254" spans="1:703" x14ac:dyDescent="0.3">
      <c r="A254" s="21"/>
      <c r="B254" s="22"/>
      <c r="C254" s="10"/>
      <c r="D254" s="10"/>
      <c r="E254" s="56"/>
      <c r="F254" s="10"/>
      <c r="G254" s="23"/>
    </row>
    <row r="255" spans="1:703" x14ac:dyDescent="0.3">
      <c r="A255" s="54"/>
      <c r="B255" s="32" t="s">
        <v>577</v>
      </c>
      <c r="C255" s="33"/>
      <c r="D255" s="33"/>
      <c r="E255" s="33"/>
      <c r="F255" s="33"/>
      <c r="G255" s="34">
        <f>SUBTOTAL(109,G235:G254)</f>
        <v>84963.4</v>
      </c>
      <c r="H255" s="35"/>
      <c r="ZZ255" t="s">
        <v>18</v>
      </c>
    </row>
    <row r="256" spans="1:703" x14ac:dyDescent="0.3">
      <c r="A256" s="1"/>
      <c r="B256" s="6"/>
      <c r="C256" s="10"/>
      <c r="D256" s="10"/>
      <c r="E256" s="56"/>
      <c r="F256" s="10"/>
      <c r="G256" s="8"/>
    </row>
    <row r="257" spans="1:703" ht="26.4" x14ac:dyDescent="0.3">
      <c r="A257" s="53" t="s">
        <v>578</v>
      </c>
      <c r="B257" s="9" t="s">
        <v>579</v>
      </c>
      <c r="C257" s="10"/>
      <c r="D257" s="10"/>
      <c r="E257" s="56"/>
      <c r="F257" s="10"/>
      <c r="G257" s="11"/>
      <c r="ZZ257" t="s">
        <v>8</v>
      </c>
      <c r="AAA257" s="12"/>
    </row>
    <row r="258" spans="1:703" x14ac:dyDescent="0.3">
      <c r="A258" s="25" t="s">
        <v>580</v>
      </c>
      <c r="B258" s="26" t="s">
        <v>118</v>
      </c>
      <c r="C258" s="10"/>
      <c r="D258" s="10"/>
      <c r="E258" s="56"/>
      <c r="F258" s="10"/>
      <c r="G258" s="11"/>
      <c r="ZZ258" t="s">
        <v>39</v>
      </c>
      <c r="AAA258" s="12"/>
    </row>
    <row r="259" spans="1:703" x14ac:dyDescent="0.3">
      <c r="A259" s="19" t="s">
        <v>581</v>
      </c>
      <c r="B259" s="20" t="s">
        <v>120</v>
      </c>
      <c r="C259" s="15" t="s">
        <v>57</v>
      </c>
      <c r="D259" s="17">
        <v>130.80000000000001</v>
      </c>
      <c r="E259" s="56">
        <f t="shared" si="6"/>
        <v>130.80000000000001</v>
      </c>
      <c r="F259" s="17">
        <v>8.58</v>
      </c>
      <c r="G259" s="18">
        <f>ROUND(E259*F259,2)</f>
        <v>1122.26</v>
      </c>
      <c r="ZZ259" t="s">
        <v>12</v>
      </c>
      <c r="AAA259" s="12" t="s">
        <v>582</v>
      </c>
    </row>
    <row r="260" spans="1:703" x14ac:dyDescent="0.3">
      <c r="A260" s="19" t="s">
        <v>583</v>
      </c>
      <c r="B260" s="20" t="s">
        <v>123</v>
      </c>
      <c r="C260" s="15" t="s">
        <v>124</v>
      </c>
      <c r="D260" s="17">
        <v>719.36</v>
      </c>
      <c r="E260" s="56">
        <f t="shared" si="6"/>
        <v>719.36</v>
      </c>
      <c r="F260" s="17">
        <v>1.91</v>
      </c>
      <c r="G260" s="18">
        <f>ROUND(E260*F260,2)</f>
        <v>1373.98</v>
      </c>
      <c r="ZZ260" t="s">
        <v>12</v>
      </c>
      <c r="AAA260" s="12" t="s">
        <v>584</v>
      </c>
    </row>
    <row r="261" spans="1:703" x14ac:dyDescent="0.3">
      <c r="A261" s="19" t="s">
        <v>585</v>
      </c>
      <c r="B261" s="20" t="s">
        <v>127</v>
      </c>
      <c r="C261" s="15" t="s">
        <v>124</v>
      </c>
      <c r="D261" s="17">
        <v>65.400000000000006</v>
      </c>
      <c r="E261" s="56">
        <f t="shared" si="6"/>
        <v>65.400000000000006</v>
      </c>
      <c r="F261" s="17">
        <v>2.4300000000000002</v>
      </c>
      <c r="G261" s="18">
        <f>ROUND(E261*F261,2)</f>
        <v>158.91999999999999</v>
      </c>
      <c r="ZZ261" t="s">
        <v>12</v>
      </c>
      <c r="AAA261" s="12" t="s">
        <v>586</v>
      </c>
    </row>
    <row r="262" spans="1:703" x14ac:dyDescent="0.3">
      <c r="A262" s="19" t="s">
        <v>587</v>
      </c>
      <c r="B262" s="20" t="s">
        <v>130</v>
      </c>
      <c r="C262" s="15" t="s">
        <v>42</v>
      </c>
      <c r="D262" s="27">
        <v>17.001999999999999</v>
      </c>
      <c r="E262" s="57">
        <f t="shared" ref="E262:E325" si="7">D262</f>
        <v>17.001999999999999</v>
      </c>
      <c r="F262" s="17">
        <v>151.96</v>
      </c>
      <c r="G262" s="18">
        <f>ROUND(E262*F262,2)</f>
        <v>2583.62</v>
      </c>
      <c r="ZZ262" t="s">
        <v>12</v>
      </c>
      <c r="AAA262" s="12" t="s">
        <v>588</v>
      </c>
    </row>
    <row r="263" spans="1:703" ht="26.4" x14ac:dyDescent="0.3">
      <c r="A263" s="28" t="s">
        <v>589</v>
      </c>
      <c r="B263" s="29" t="s">
        <v>590</v>
      </c>
      <c r="C263" s="10"/>
      <c r="D263" s="10"/>
      <c r="E263" s="56"/>
      <c r="F263" s="10"/>
      <c r="G263" s="11"/>
      <c r="ZZ263" t="s">
        <v>39</v>
      </c>
      <c r="AAA263" s="12"/>
    </row>
    <row r="264" spans="1:703" x14ac:dyDescent="0.3">
      <c r="A264" s="19" t="s">
        <v>591</v>
      </c>
      <c r="B264" s="20" t="s">
        <v>592</v>
      </c>
      <c r="C264" s="15" t="s">
        <v>57</v>
      </c>
      <c r="D264" s="17">
        <v>482.99</v>
      </c>
      <c r="E264" s="56">
        <f t="shared" si="7"/>
        <v>482.99</v>
      </c>
      <c r="F264" s="17">
        <v>99.57</v>
      </c>
      <c r="G264" s="18">
        <f>ROUND(E264*F264,2)</f>
        <v>48091.31</v>
      </c>
      <c r="ZZ264" t="s">
        <v>12</v>
      </c>
      <c r="AAA264" s="12" t="s">
        <v>593</v>
      </c>
    </row>
    <row r="265" spans="1:703" ht="26.4" x14ac:dyDescent="0.3">
      <c r="A265" s="28" t="s">
        <v>594</v>
      </c>
      <c r="B265" s="29" t="s">
        <v>595</v>
      </c>
      <c r="C265" s="10"/>
      <c r="D265" s="10"/>
      <c r="E265" s="56"/>
      <c r="F265" s="10"/>
      <c r="G265" s="11"/>
      <c r="ZZ265" t="s">
        <v>39</v>
      </c>
      <c r="AAA265" s="12"/>
    </row>
    <row r="266" spans="1:703" x14ac:dyDescent="0.3">
      <c r="A266" s="30" t="s">
        <v>596</v>
      </c>
      <c r="B266" s="31" t="s">
        <v>140</v>
      </c>
      <c r="C266" s="10"/>
      <c r="D266" s="10"/>
      <c r="E266" s="56"/>
      <c r="F266" s="10"/>
      <c r="G266" s="11"/>
      <c r="ZZ266" t="s">
        <v>141</v>
      </c>
      <c r="AAA266" s="12"/>
    </row>
    <row r="267" spans="1:703" x14ac:dyDescent="0.3">
      <c r="A267" s="19" t="s">
        <v>597</v>
      </c>
      <c r="B267" s="20" t="s">
        <v>598</v>
      </c>
      <c r="C267" s="15" t="s">
        <v>26</v>
      </c>
      <c r="D267" s="24">
        <v>45</v>
      </c>
      <c r="E267" s="56">
        <f t="shared" si="7"/>
        <v>45</v>
      </c>
      <c r="F267" s="17">
        <v>12.74</v>
      </c>
      <c r="G267" s="18">
        <f>ROUND(E267*F267,2)</f>
        <v>573.29999999999995</v>
      </c>
      <c r="ZZ267" t="s">
        <v>12</v>
      </c>
      <c r="AAA267" s="12" t="s">
        <v>599</v>
      </c>
    </row>
    <row r="268" spans="1:703" x14ac:dyDescent="0.3">
      <c r="A268" s="19" t="s">
        <v>600</v>
      </c>
      <c r="B268" s="20" t="s">
        <v>601</v>
      </c>
      <c r="C268" s="15" t="s">
        <v>26</v>
      </c>
      <c r="D268" s="24">
        <v>5.0999999999999996</v>
      </c>
      <c r="E268" s="56">
        <f t="shared" si="7"/>
        <v>5.0999999999999996</v>
      </c>
      <c r="F268" s="17">
        <v>24.8</v>
      </c>
      <c r="G268" s="18">
        <f>ROUND(E268*F268,2)</f>
        <v>126.48</v>
      </c>
      <c r="ZZ268" t="s">
        <v>12</v>
      </c>
      <c r="AAA268" s="12" t="s">
        <v>602</v>
      </c>
    </row>
    <row r="269" spans="1:703" x14ac:dyDescent="0.3">
      <c r="A269" s="30" t="s">
        <v>603</v>
      </c>
      <c r="B269" s="31" t="s">
        <v>146</v>
      </c>
      <c r="C269" s="10"/>
      <c r="D269" s="10"/>
      <c r="E269" s="56"/>
      <c r="F269" s="10"/>
      <c r="G269" s="11"/>
      <c r="ZZ269" t="s">
        <v>141</v>
      </c>
      <c r="AAA269" s="12"/>
    </row>
    <row r="270" spans="1:703" x14ac:dyDescent="0.3">
      <c r="A270" s="19" t="s">
        <v>604</v>
      </c>
      <c r="B270" s="20" t="s">
        <v>605</v>
      </c>
      <c r="C270" s="15" t="s">
        <v>26</v>
      </c>
      <c r="D270" s="24">
        <v>142.9</v>
      </c>
      <c r="E270" s="56">
        <f t="shared" si="7"/>
        <v>142.9</v>
      </c>
      <c r="F270" s="17">
        <v>12.74</v>
      </c>
      <c r="G270" s="18">
        <f>ROUND(E270*F270,2)</f>
        <v>1820.55</v>
      </c>
      <c r="ZZ270" t="s">
        <v>12</v>
      </c>
      <c r="AAA270" s="12" t="s">
        <v>606</v>
      </c>
    </row>
    <row r="271" spans="1:703" x14ac:dyDescent="0.3">
      <c r="A271" s="19" t="s">
        <v>607</v>
      </c>
      <c r="B271" s="20" t="s">
        <v>148</v>
      </c>
      <c r="C271" s="15" t="s">
        <v>26</v>
      </c>
      <c r="D271" s="24">
        <v>25.3</v>
      </c>
      <c r="E271" s="56">
        <f t="shared" si="7"/>
        <v>25.3</v>
      </c>
      <c r="F271" s="17">
        <v>24.8</v>
      </c>
      <c r="G271" s="18">
        <f>ROUND(E271*F271,2)</f>
        <v>627.44000000000005</v>
      </c>
      <c r="ZZ271" t="s">
        <v>12</v>
      </c>
      <c r="AAA271" s="12" t="s">
        <v>608</v>
      </c>
    </row>
    <row r="272" spans="1:703" x14ac:dyDescent="0.3">
      <c r="A272" s="30" t="s">
        <v>609</v>
      </c>
      <c r="B272" s="31" t="s">
        <v>151</v>
      </c>
      <c r="C272" s="10"/>
      <c r="D272" s="10"/>
      <c r="E272" s="56"/>
      <c r="F272" s="10"/>
      <c r="G272" s="11"/>
      <c r="ZZ272" t="s">
        <v>141</v>
      </c>
      <c r="AAA272" s="12"/>
    </row>
    <row r="273" spans="1:703" x14ac:dyDescent="0.3">
      <c r="A273" s="19" t="s">
        <v>610</v>
      </c>
      <c r="B273" s="20" t="s">
        <v>611</v>
      </c>
      <c r="C273" s="15" t="s">
        <v>304</v>
      </c>
      <c r="D273" s="16">
        <v>10</v>
      </c>
      <c r="E273" s="56">
        <f t="shared" si="7"/>
        <v>10</v>
      </c>
      <c r="F273" s="17">
        <v>10.69</v>
      </c>
      <c r="G273" s="18">
        <f>ROUND(E273*F273,2)</f>
        <v>106.9</v>
      </c>
      <c r="ZZ273" t="s">
        <v>12</v>
      </c>
      <c r="AAA273" s="12" t="s">
        <v>612</v>
      </c>
    </row>
    <row r="274" spans="1:703" x14ac:dyDescent="0.3">
      <c r="A274" s="19" t="s">
        <v>613</v>
      </c>
      <c r="B274" s="20" t="s">
        <v>614</v>
      </c>
      <c r="C274" s="15" t="s">
        <v>304</v>
      </c>
      <c r="D274" s="16">
        <v>10</v>
      </c>
      <c r="E274" s="56">
        <f t="shared" si="7"/>
        <v>10</v>
      </c>
      <c r="F274" s="17">
        <v>10.69</v>
      </c>
      <c r="G274" s="18">
        <f>ROUND(E274*F274,2)</f>
        <v>106.9</v>
      </c>
      <c r="ZZ274" t="s">
        <v>12</v>
      </c>
      <c r="AAA274" s="12" t="s">
        <v>615</v>
      </c>
    </row>
    <row r="275" spans="1:703" x14ac:dyDescent="0.3">
      <c r="A275" s="19" t="s">
        <v>616</v>
      </c>
      <c r="B275" s="20" t="s">
        <v>617</v>
      </c>
      <c r="C275" s="15" t="s">
        <v>304</v>
      </c>
      <c r="D275" s="16">
        <v>10</v>
      </c>
      <c r="E275" s="56">
        <f t="shared" si="7"/>
        <v>10</v>
      </c>
      <c r="F275" s="17">
        <v>10.69</v>
      </c>
      <c r="G275" s="18">
        <f>ROUND(E275*F275,2)</f>
        <v>106.9</v>
      </c>
      <c r="ZZ275" t="s">
        <v>12</v>
      </c>
      <c r="AAA275" s="12" t="s">
        <v>618</v>
      </c>
    </row>
    <row r="276" spans="1:703" x14ac:dyDescent="0.3">
      <c r="A276" s="19" t="s">
        <v>619</v>
      </c>
      <c r="B276" s="20" t="s">
        <v>620</v>
      </c>
      <c r="C276" s="15" t="s">
        <v>304</v>
      </c>
      <c r="D276" s="16">
        <v>10</v>
      </c>
      <c r="E276" s="56">
        <f t="shared" si="7"/>
        <v>10</v>
      </c>
      <c r="F276" s="17">
        <v>10.69</v>
      </c>
      <c r="G276" s="18">
        <f>ROUND(E276*F276,2)</f>
        <v>106.9</v>
      </c>
      <c r="ZZ276" t="s">
        <v>12</v>
      </c>
      <c r="AAA276" s="12" t="s">
        <v>621</v>
      </c>
    </row>
    <row r="277" spans="1:703" x14ac:dyDescent="0.3">
      <c r="A277" s="30" t="s">
        <v>622</v>
      </c>
      <c r="B277" s="31" t="s">
        <v>161</v>
      </c>
      <c r="C277" s="10"/>
      <c r="D277" s="10"/>
      <c r="E277" s="56"/>
      <c r="F277" s="10"/>
      <c r="G277" s="11"/>
      <c r="ZZ277" t="s">
        <v>141</v>
      </c>
      <c r="AAA277" s="12"/>
    </row>
    <row r="278" spans="1:703" ht="26.4" x14ac:dyDescent="0.3">
      <c r="A278" s="19" t="s">
        <v>623</v>
      </c>
      <c r="B278" s="20" t="s">
        <v>624</v>
      </c>
      <c r="C278" s="15" t="s">
        <v>26</v>
      </c>
      <c r="D278" s="24">
        <v>24.1</v>
      </c>
      <c r="E278" s="56">
        <f t="shared" si="7"/>
        <v>24.1</v>
      </c>
      <c r="F278" s="17">
        <v>25.48</v>
      </c>
      <c r="G278" s="18">
        <f>ROUND(E278*F278,2)</f>
        <v>614.07000000000005</v>
      </c>
      <c r="ZZ278" t="s">
        <v>12</v>
      </c>
      <c r="AAA278" s="12" t="s">
        <v>625</v>
      </c>
    </row>
    <row r="279" spans="1:703" ht="26.4" x14ac:dyDescent="0.3">
      <c r="A279" s="19" t="s">
        <v>626</v>
      </c>
      <c r="B279" s="20" t="s">
        <v>627</v>
      </c>
      <c r="C279" s="15" t="s">
        <v>26</v>
      </c>
      <c r="D279" s="24">
        <v>4.9000000000000004</v>
      </c>
      <c r="E279" s="56">
        <f t="shared" si="7"/>
        <v>4.9000000000000004</v>
      </c>
      <c r="F279" s="17">
        <v>25.48</v>
      </c>
      <c r="G279" s="18">
        <f>ROUND(E279*F279,2)</f>
        <v>124.85</v>
      </c>
      <c r="ZZ279" t="s">
        <v>12</v>
      </c>
      <c r="AAA279" s="12" t="s">
        <v>628</v>
      </c>
    </row>
    <row r="280" spans="1:703" ht="26.4" x14ac:dyDescent="0.3">
      <c r="A280" s="19" t="s">
        <v>629</v>
      </c>
      <c r="B280" s="20" t="s">
        <v>166</v>
      </c>
      <c r="C280" s="15" t="s">
        <v>26</v>
      </c>
      <c r="D280" s="24">
        <v>7.4</v>
      </c>
      <c r="E280" s="56">
        <f t="shared" si="7"/>
        <v>7.4</v>
      </c>
      <c r="F280" s="17">
        <v>27.64</v>
      </c>
      <c r="G280" s="18">
        <f>ROUND(E280*F280,2)</f>
        <v>204.54</v>
      </c>
      <c r="ZZ280" t="s">
        <v>12</v>
      </c>
      <c r="AAA280" s="12" t="s">
        <v>630</v>
      </c>
    </row>
    <row r="281" spans="1:703" x14ac:dyDescent="0.3">
      <c r="A281" s="30" t="s">
        <v>631</v>
      </c>
      <c r="B281" s="31" t="s">
        <v>169</v>
      </c>
      <c r="C281" s="10"/>
      <c r="D281" s="10"/>
      <c r="E281" s="56"/>
      <c r="F281" s="10"/>
      <c r="G281" s="11"/>
      <c r="ZZ281" t="s">
        <v>141</v>
      </c>
      <c r="AAA281" s="12"/>
    </row>
    <row r="282" spans="1:703" x14ac:dyDescent="0.3">
      <c r="A282" s="19" t="s">
        <v>632</v>
      </c>
      <c r="B282" s="20" t="s">
        <v>633</v>
      </c>
      <c r="C282" s="15" t="s">
        <v>1</v>
      </c>
      <c r="D282" s="16">
        <v>32</v>
      </c>
      <c r="E282" s="56">
        <f t="shared" si="7"/>
        <v>32</v>
      </c>
      <c r="F282" s="17">
        <v>95.04</v>
      </c>
      <c r="G282" s="18">
        <f>ROUND(E282*F282,2)</f>
        <v>3041.28</v>
      </c>
      <c r="ZZ282" t="s">
        <v>12</v>
      </c>
      <c r="AAA282" s="12" t="s">
        <v>634</v>
      </c>
    </row>
    <row r="283" spans="1:703" x14ac:dyDescent="0.3">
      <c r="A283" s="21"/>
      <c r="B283" s="22"/>
      <c r="C283" s="10"/>
      <c r="D283" s="10"/>
      <c r="E283" s="56"/>
      <c r="F283" s="10"/>
      <c r="G283" s="23"/>
    </row>
    <row r="284" spans="1:703" ht="26.4" x14ac:dyDescent="0.3">
      <c r="A284" s="54"/>
      <c r="B284" s="32" t="s">
        <v>635</v>
      </c>
      <c r="C284" s="33"/>
      <c r="D284" s="33"/>
      <c r="E284" s="33"/>
      <c r="F284" s="33"/>
      <c r="G284" s="34">
        <f>SUBTOTAL(109,G258:G283)</f>
        <v>60890.200000000012</v>
      </c>
      <c r="H284" s="35"/>
      <c r="ZZ284" t="s">
        <v>18</v>
      </c>
    </row>
    <row r="285" spans="1:703" x14ac:dyDescent="0.3">
      <c r="A285" s="1"/>
      <c r="B285" s="6"/>
      <c r="C285" s="10"/>
      <c r="D285" s="10"/>
      <c r="E285" s="56"/>
      <c r="F285" s="10"/>
      <c r="G285" s="8"/>
    </row>
    <row r="286" spans="1:703" x14ac:dyDescent="0.3">
      <c r="A286" s="53" t="s">
        <v>636</v>
      </c>
      <c r="B286" s="9" t="s">
        <v>637</v>
      </c>
      <c r="C286" s="10"/>
      <c r="D286" s="10"/>
      <c r="E286" s="56"/>
      <c r="F286" s="10"/>
      <c r="G286" s="11"/>
      <c r="ZZ286" t="s">
        <v>8</v>
      </c>
      <c r="AAA286" s="12"/>
    </row>
    <row r="287" spans="1:703" ht="26.4" x14ac:dyDescent="0.3">
      <c r="A287" s="25" t="s">
        <v>638</v>
      </c>
      <c r="B287" s="26" t="s">
        <v>639</v>
      </c>
      <c r="C287" s="10"/>
      <c r="D287" s="10"/>
      <c r="E287" s="56"/>
      <c r="F287" s="10"/>
      <c r="G287" s="11"/>
      <c r="ZZ287" t="s">
        <v>39</v>
      </c>
      <c r="AAA287" s="12"/>
    </row>
    <row r="288" spans="1:703" x14ac:dyDescent="0.3">
      <c r="A288" s="19" t="s">
        <v>640</v>
      </c>
      <c r="B288" s="20" t="s">
        <v>641</v>
      </c>
      <c r="C288" s="15" t="s">
        <v>57</v>
      </c>
      <c r="D288" s="17">
        <v>333.58</v>
      </c>
      <c r="E288" s="56">
        <f t="shared" si="7"/>
        <v>333.58</v>
      </c>
      <c r="F288" s="17">
        <v>32.74</v>
      </c>
      <c r="G288" s="18">
        <f>ROUND(E288*F288,2)</f>
        <v>10921.41</v>
      </c>
      <c r="ZZ288" t="s">
        <v>12</v>
      </c>
      <c r="AAA288" s="12" t="s">
        <v>642</v>
      </c>
    </row>
    <row r="289" spans="1:703" x14ac:dyDescent="0.3">
      <c r="A289" s="19" t="s">
        <v>643</v>
      </c>
      <c r="B289" s="20" t="s">
        <v>123</v>
      </c>
      <c r="C289" s="15" t="s">
        <v>124</v>
      </c>
      <c r="D289" s="17">
        <v>1667.77</v>
      </c>
      <c r="E289" s="56">
        <f t="shared" si="7"/>
        <v>1667.77</v>
      </c>
      <c r="F289" s="17">
        <v>1.91</v>
      </c>
      <c r="G289" s="18">
        <f>ROUND(E289*F289,2)</f>
        <v>3185.44</v>
      </c>
      <c r="ZZ289" t="s">
        <v>12</v>
      </c>
      <c r="AAA289" s="12" t="s">
        <v>644</v>
      </c>
    </row>
    <row r="290" spans="1:703" x14ac:dyDescent="0.3">
      <c r="A290" s="19" t="s">
        <v>645</v>
      </c>
      <c r="B290" s="20" t="s">
        <v>127</v>
      </c>
      <c r="C290" s="15" t="s">
        <v>124</v>
      </c>
      <c r="D290" s="17">
        <v>667.09</v>
      </c>
      <c r="E290" s="56">
        <f t="shared" si="7"/>
        <v>667.09</v>
      </c>
      <c r="F290" s="17">
        <v>2.4300000000000002</v>
      </c>
      <c r="G290" s="18">
        <f>ROUND(E290*F290,2)</f>
        <v>1621.03</v>
      </c>
      <c r="ZZ290" t="s">
        <v>12</v>
      </c>
      <c r="AAA290" s="12" t="s">
        <v>646</v>
      </c>
    </row>
    <row r="291" spans="1:703" ht="26.4" x14ac:dyDescent="0.3">
      <c r="A291" s="19" t="s">
        <v>647</v>
      </c>
      <c r="B291" s="20" t="s">
        <v>189</v>
      </c>
      <c r="C291" s="15" t="s">
        <v>42</v>
      </c>
      <c r="D291" s="27">
        <v>30.841999999999999</v>
      </c>
      <c r="E291" s="56">
        <f t="shared" si="7"/>
        <v>30.841999999999999</v>
      </c>
      <c r="F291" s="17">
        <v>191.43</v>
      </c>
      <c r="G291" s="18">
        <f>ROUND(E291*F291,2)</f>
        <v>5904.08</v>
      </c>
      <c r="ZZ291" t="s">
        <v>12</v>
      </c>
      <c r="AAA291" s="12" t="s">
        <v>648</v>
      </c>
    </row>
    <row r="292" spans="1:703" x14ac:dyDescent="0.3">
      <c r="A292" s="28" t="s">
        <v>649</v>
      </c>
      <c r="B292" s="29" t="s">
        <v>197</v>
      </c>
      <c r="C292" s="10"/>
      <c r="D292" s="10"/>
      <c r="E292" s="56"/>
      <c r="F292" s="10"/>
      <c r="G292" s="11"/>
      <c r="ZZ292" t="s">
        <v>39</v>
      </c>
      <c r="AAA292" s="12"/>
    </row>
    <row r="293" spans="1:703" x14ac:dyDescent="0.3">
      <c r="A293" s="19" t="s">
        <v>650</v>
      </c>
      <c r="B293" s="20" t="s">
        <v>182</v>
      </c>
      <c r="C293" s="15" t="s">
        <v>57</v>
      </c>
      <c r="D293" s="17">
        <v>9</v>
      </c>
      <c r="E293" s="56">
        <f t="shared" si="7"/>
        <v>9</v>
      </c>
      <c r="F293" s="17">
        <v>28.64</v>
      </c>
      <c r="G293" s="18">
        <f>ROUND(E293*F293,2)</f>
        <v>257.76</v>
      </c>
      <c r="ZZ293" t="s">
        <v>12</v>
      </c>
      <c r="AAA293" s="12" t="s">
        <v>651</v>
      </c>
    </row>
    <row r="294" spans="1:703" x14ac:dyDescent="0.3">
      <c r="A294" s="19" t="s">
        <v>652</v>
      </c>
      <c r="B294" s="20" t="s">
        <v>123</v>
      </c>
      <c r="C294" s="15" t="s">
        <v>124</v>
      </c>
      <c r="D294" s="17">
        <v>27</v>
      </c>
      <c r="E294" s="56">
        <f t="shared" si="7"/>
        <v>27</v>
      </c>
      <c r="F294" s="17">
        <v>1.91</v>
      </c>
      <c r="G294" s="18">
        <f>ROUND(E294*F294,2)</f>
        <v>51.57</v>
      </c>
      <c r="ZZ294" t="s">
        <v>12</v>
      </c>
      <c r="AAA294" s="12" t="s">
        <v>653</v>
      </c>
    </row>
    <row r="295" spans="1:703" x14ac:dyDescent="0.3">
      <c r="A295" s="19" t="s">
        <v>654</v>
      </c>
      <c r="B295" s="20" t="s">
        <v>127</v>
      </c>
      <c r="C295" s="15" t="s">
        <v>124</v>
      </c>
      <c r="D295" s="17">
        <v>18</v>
      </c>
      <c r="E295" s="56">
        <f t="shared" si="7"/>
        <v>18</v>
      </c>
      <c r="F295" s="17">
        <v>2.4300000000000002</v>
      </c>
      <c r="G295" s="18">
        <f>ROUND(E295*F295,2)</f>
        <v>43.74</v>
      </c>
      <c r="ZZ295" t="s">
        <v>12</v>
      </c>
      <c r="AAA295" s="12" t="s">
        <v>655</v>
      </c>
    </row>
    <row r="296" spans="1:703" ht="26.4" x14ac:dyDescent="0.3">
      <c r="A296" s="19" t="s">
        <v>656</v>
      </c>
      <c r="B296" s="20" t="s">
        <v>205</v>
      </c>
      <c r="C296" s="15" t="s">
        <v>42</v>
      </c>
      <c r="D296" s="27">
        <v>0.9</v>
      </c>
      <c r="E296" s="56">
        <f t="shared" si="7"/>
        <v>0.9</v>
      </c>
      <c r="F296" s="17">
        <v>188.79</v>
      </c>
      <c r="G296" s="18">
        <f>ROUND(E296*F296,2)</f>
        <v>169.91</v>
      </c>
      <c r="ZZ296" t="s">
        <v>12</v>
      </c>
      <c r="AAA296" s="12" t="s">
        <v>657</v>
      </c>
    </row>
    <row r="297" spans="1:703" x14ac:dyDescent="0.3">
      <c r="A297" s="28" t="s">
        <v>658</v>
      </c>
      <c r="B297" s="29" t="s">
        <v>208</v>
      </c>
      <c r="C297" s="10"/>
      <c r="D297" s="10"/>
      <c r="E297" s="56"/>
      <c r="F297" s="10"/>
      <c r="G297" s="11"/>
      <c r="ZZ297" t="s">
        <v>39</v>
      </c>
      <c r="AAA297" s="12"/>
    </row>
    <row r="298" spans="1:703" x14ac:dyDescent="0.3">
      <c r="A298" s="19" t="s">
        <v>659</v>
      </c>
      <c r="B298" s="20" t="s">
        <v>182</v>
      </c>
      <c r="C298" s="15" t="s">
        <v>57</v>
      </c>
      <c r="D298" s="17">
        <v>12.55</v>
      </c>
      <c r="E298" s="56">
        <f t="shared" si="7"/>
        <v>12.55</v>
      </c>
      <c r="F298" s="17">
        <v>45.01</v>
      </c>
      <c r="G298" s="18">
        <f>ROUND(E298*F298,2)</f>
        <v>564.88</v>
      </c>
      <c r="ZZ298" t="s">
        <v>12</v>
      </c>
      <c r="AAA298" s="12" t="s">
        <v>660</v>
      </c>
    </row>
    <row r="299" spans="1:703" x14ac:dyDescent="0.3">
      <c r="A299" s="19" t="s">
        <v>661</v>
      </c>
      <c r="B299" s="20" t="s">
        <v>127</v>
      </c>
      <c r="C299" s="15" t="s">
        <v>124</v>
      </c>
      <c r="D299" s="17">
        <v>92.69</v>
      </c>
      <c r="E299" s="56">
        <f t="shared" si="7"/>
        <v>92.69</v>
      </c>
      <c r="F299" s="17">
        <v>2.4300000000000002</v>
      </c>
      <c r="G299" s="18">
        <f>ROUND(E299*F299,2)</f>
        <v>225.24</v>
      </c>
      <c r="ZZ299" t="s">
        <v>12</v>
      </c>
      <c r="AAA299" s="12" t="s">
        <v>662</v>
      </c>
    </row>
    <row r="300" spans="1:703" x14ac:dyDescent="0.3">
      <c r="A300" s="19" t="s">
        <v>663</v>
      </c>
      <c r="B300" s="20" t="s">
        <v>214</v>
      </c>
      <c r="C300" s="15" t="s">
        <v>42</v>
      </c>
      <c r="D300" s="27">
        <v>0.71299999999999997</v>
      </c>
      <c r="E300" s="56">
        <f t="shared" si="7"/>
        <v>0.71299999999999997</v>
      </c>
      <c r="F300" s="17">
        <v>201.07</v>
      </c>
      <c r="G300" s="18">
        <f>ROUND(E300*F300,2)</f>
        <v>143.36000000000001</v>
      </c>
      <c r="ZZ300" t="s">
        <v>12</v>
      </c>
      <c r="AAA300" s="12" t="s">
        <v>664</v>
      </c>
    </row>
    <row r="301" spans="1:703" x14ac:dyDescent="0.3">
      <c r="A301" s="28" t="s">
        <v>665</v>
      </c>
      <c r="B301" s="29" t="s">
        <v>217</v>
      </c>
      <c r="C301" s="10"/>
      <c r="D301" s="10"/>
      <c r="E301" s="56"/>
      <c r="F301" s="10"/>
      <c r="G301" s="11"/>
      <c r="ZZ301" t="s">
        <v>39</v>
      </c>
      <c r="AAA301" s="12"/>
    </row>
    <row r="302" spans="1:703" x14ac:dyDescent="0.3">
      <c r="A302" s="19" t="s">
        <v>666</v>
      </c>
      <c r="B302" s="20" t="s">
        <v>182</v>
      </c>
      <c r="C302" s="15" t="s">
        <v>57</v>
      </c>
      <c r="D302" s="17">
        <v>44.3</v>
      </c>
      <c r="E302" s="56">
        <f t="shared" si="7"/>
        <v>44.3</v>
      </c>
      <c r="F302" s="17">
        <v>45.01</v>
      </c>
      <c r="G302" s="18">
        <f>ROUND(E302*F302,2)</f>
        <v>1993.94</v>
      </c>
      <c r="ZZ302" t="s">
        <v>12</v>
      </c>
      <c r="AAA302" s="12" t="s">
        <v>667</v>
      </c>
    </row>
    <row r="303" spans="1:703" x14ac:dyDescent="0.3">
      <c r="A303" s="19" t="s">
        <v>668</v>
      </c>
      <c r="B303" s="20" t="s">
        <v>127</v>
      </c>
      <c r="C303" s="15" t="s">
        <v>124</v>
      </c>
      <c r="D303" s="17">
        <v>359.7</v>
      </c>
      <c r="E303" s="56">
        <f t="shared" si="7"/>
        <v>359.7</v>
      </c>
      <c r="F303" s="17">
        <v>2.4300000000000002</v>
      </c>
      <c r="G303" s="18">
        <f>ROUND(E303*F303,2)</f>
        <v>874.07</v>
      </c>
      <c r="ZZ303" t="s">
        <v>12</v>
      </c>
      <c r="AAA303" s="12" t="s">
        <v>669</v>
      </c>
    </row>
    <row r="304" spans="1:703" x14ac:dyDescent="0.3">
      <c r="A304" s="19" t="s">
        <v>670</v>
      </c>
      <c r="B304" s="20" t="s">
        <v>223</v>
      </c>
      <c r="C304" s="15" t="s">
        <v>42</v>
      </c>
      <c r="D304" s="27">
        <v>3.27</v>
      </c>
      <c r="E304" s="56">
        <f t="shared" si="7"/>
        <v>3.27</v>
      </c>
      <c r="F304" s="17">
        <v>192.88</v>
      </c>
      <c r="G304" s="18">
        <f>ROUND(E304*F304,2)</f>
        <v>630.72</v>
      </c>
      <c r="ZZ304" t="s">
        <v>12</v>
      </c>
      <c r="AAA304" s="12" t="s">
        <v>671</v>
      </c>
    </row>
    <row r="305" spans="1:703" x14ac:dyDescent="0.3">
      <c r="A305" s="28" t="s">
        <v>672</v>
      </c>
      <c r="B305" s="29" t="s">
        <v>673</v>
      </c>
      <c r="C305" s="10"/>
      <c r="D305" s="10"/>
      <c r="E305" s="56"/>
      <c r="F305" s="10"/>
      <c r="G305" s="11"/>
      <c r="ZZ305" t="s">
        <v>39</v>
      </c>
      <c r="AAA305" s="12"/>
    </row>
    <row r="306" spans="1:703" ht="26.4" x14ac:dyDescent="0.3">
      <c r="A306" s="19" t="s">
        <v>674</v>
      </c>
      <c r="B306" s="20" t="s">
        <v>675</v>
      </c>
      <c r="C306" s="15" t="s">
        <v>57</v>
      </c>
      <c r="D306" s="17">
        <v>136.71</v>
      </c>
      <c r="E306" s="56">
        <f t="shared" si="7"/>
        <v>136.71</v>
      </c>
      <c r="F306" s="17">
        <v>99.57</v>
      </c>
      <c r="G306" s="18">
        <f>ROUND(E306*F306,2)</f>
        <v>13612.21</v>
      </c>
      <c r="ZZ306" t="s">
        <v>12</v>
      </c>
      <c r="AAA306" s="12" t="s">
        <v>676</v>
      </c>
    </row>
    <row r="307" spans="1:703" x14ac:dyDescent="0.3">
      <c r="A307" s="28" t="s">
        <v>677</v>
      </c>
      <c r="B307" s="29" t="s">
        <v>237</v>
      </c>
      <c r="C307" s="10"/>
      <c r="D307" s="10"/>
      <c r="E307" s="56"/>
      <c r="F307" s="10"/>
      <c r="G307" s="11"/>
      <c r="ZZ307" t="s">
        <v>39</v>
      </c>
      <c r="AAA307" s="12"/>
    </row>
    <row r="308" spans="1:703" x14ac:dyDescent="0.3">
      <c r="A308" s="30" t="s">
        <v>678</v>
      </c>
      <c r="B308" s="31" t="s">
        <v>247</v>
      </c>
      <c r="C308" s="10"/>
      <c r="D308" s="10"/>
      <c r="E308" s="56"/>
      <c r="F308" s="10"/>
      <c r="G308" s="11"/>
      <c r="ZZ308" t="s">
        <v>141</v>
      </c>
      <c r="AAA308" s="12"/>
    </row>
    <row r="309" spans="1:703" x14ac:dyDescent="0.3">
      <c r="A309" s="19" t="s">
        <v>679</v>
      </c>
      <c r="B309" s="20" t="s">
        <v>249</v>
      </c>
      <c r="C309" s="15" t="s">
        <v>57</v>
      </c>
      <c r="D309" s="17">
        <v>341.13</v>
      </c>
      <c r="E309" s="56">
        <f t="shared" si="7"/>
        <v>341.13</v>
      </c>
      <c r="F309" s="17">
        <v>30.36</v>
      </c>
      <c r="G309" s="18">
        <f>ROUND(E309*F309,2)</f>
        <v>10356.709999999999</v>
      </c>
      <c r="ZZ309" t="s">
        <v>12</v>
      </c>
      <c r="AAA309" s="12" t="s">
        <v>680</v>
      </c>
    </row>
    <row r="310" spans="1:703" ht="26.4" x14ac:dyDescent="0.3">
      <c r="A310" s="30" t="s">
        <v>681</v>
      </c>
      <c r="B310" s="31" t="s">
        <v>252</v>
      </c>
      <c r="C310" s="10"/>
      <c r="D310" s="10"/>
      <c r="E310" s="56"/>
      <c r="F310" s="10"/>
      <c r="G310" s="11"/>
      <c r="ZZ310" t="s">
        <v>141</v>
      </c>
      <c r="AAA310" s="12"/>
    </row>
    <row r="311" spans="1:703" ht="26.4" x14ac:dyDescent="0.3">
      <c r="A311" s="19" t="s">
        <v>682</v>
      </c>
      <c r="B311" s="20" t="s">
        <v>254</v>
      </c>
      <c r="C311" s="15" t="s">
        <v>57</v>
      </c>
      <c r="D311" s="17">
        <v>341.13</v>
      </c>
      <c r="E311" s="56">
        <f t="shared" si="7"/>
        <v>341.13</v>
      </c>
      <c r="F311" s="17">
        <v>15.58</v>
      </c>
      <c r="G311" s="18">
        <f>ROUND(E311*F311,2)</f>
        <v>5314.81</v>
      </c>
      <c r="ZZ311" t="s">
        <v>12</v>
      </c>
      <c r="AAA311" s="12" t="s">
        <v>683</v>
      </c>
    </row>
    <row r="312" spans="1:703" x14ac:dyDescent="0.3">
      <c r="A312" s="19" t="s">
        <v>684</v>
      </c>
      <c r="B312" s="20" t="s">
        <v>257</v>
      </c>
      <c r="C312" s="15" t="s">
        <v>26</v>
      </c>
      <c r="D312" s="24">
        <v>311.89999999999998</v>
      </c>
      <c r="E312" s="56">
        <f t="shared" si="7"/>
        <v>311.89999999999998</v>
      </c>
      <c r="F312" s="17">
        <v>29.15</v>
      </c>
      <c r="G312" s="18">
        <f>ROUND(E312*F312,2)</f>
        <v>9091.89</v>
      </c>
      <c r="ZZ312" t="s">
        <v>12</v>
      </c>
      <c r="AAA312" s="12" t="s">
        <v>685</v>
      </c>
    </row>
    <row r="313" spans="1:703" x14ac:dyDescent="0.3">
      <c r="A313" s="21"/>
      <c r="B313" s="22"/>
      <c r="C313" s="10"/>
      <c r="D313" s="10"/>
      <c r="E313" s="56"/>
      <c r="F313" s="10"/>
      <c r="G313" s="23"/>
    </row>
    <row r="314" spans="1:703" x14ac:dyDescent="0.3">
      <c r="A314" s="54"/>
      <c r="B314" s="32" t="s">
        <v>686</v>
      </c>
      <c r="C314" s="33"/>
      <c r="D314" s="33"/>
      <c r="E314" s="33"/>
      <c r="F314" s="33"/>
      <c r="G314" s="34">
        <f>SUBTOTAL(109,G287:G313)</f>
        <v>64962.77</v>
      </c>
      <c r="H314" s="35"/>
      <c r="ZZ314" t="s">
        <v>18</v>
      </c>
    </row>
    <row r="315" spans="1:703" x14ac:dyDescent="0.3">
      <c r="A315" s="1"/>
      <c r="B315" s="6"/>
      <c r="C315" s="10"/>
      <c r="D315" s="10"/>
      <c r="E315" s="56"/>
      <c r="F315" s="10"/>
      <c r="G315" s="8"/>
    </row>
    <row r="316" spans="1:703" x14ac:dyDescent="0.3">
      <c r="A316" s="53" t="s">
        <v>687</v>
      </c>
      <c r="B316" s="9" t="s">
        <v>688</v>
      </c>
      <c r="C316" s="10"/>
      <c r="D316" s="10"/>
      <c r="E316" s="56"/>
      <c r="F316" s="10"/>
      <c r="G316" s="11"/>
      <c r="ZZ316" t="s">
        <v>8</v>
      </c>
      <c r="AAA316" s="12"/>
    </row>
    <row r="317" spans="1:703" x14ac:dyDescent="0.3">
      <c r="A317" s="25" t="s">
        <v>689</v>
      </c>
      <c r="B317" s="26" t="s">
        <v>690</v>
      </c>
      <c r="C317" s="10"/>
      <c r="D317" s="10"/>
      <c r="E317" s="56"/>
      <c r="F317" s="10"/>
      <c r="G317" s="11"/>
      <c r="ZZ317" t="s">
        <v>39</v>
      </c>
      <c r="AAA317" s="12"/>
    </row>
    <row r="318" spans="1:703" ht="26.4" x14ac:dyDescent="0.3">
      <c r="A318" s="19" t="s">
        <v>691</v>
      </c>
      <c r="B318" s="20" t="s">
        <v>692</v>
      </c>
      <c r="C318" s="15" t="s">
        <v>26</v>
      </c>
      <c r="D318" s="24">
        <v>14.7</v>
      </c>
      <c r="E318" s="56">
        <f t="shared" si="7"/>
        <v>14.7</v>
      </c>
      <c r="F318" s="17">
        <v>90.89</v>
      </c>
      <c r="G318" s="18">
        <f t="shared" ref="G318:G323" si="8">ROUND(E318*F318,2)</f>
        <v>1336.08</v>
      </c>
      <c r="ZZ318" t="s">
        <v>12</v>
      </c>
      <c r="AAA318" s="12" t="s">
        <v>693</v>
      </c>
    </row>
    <row r="319" spans="1:703" x14ac:dyDescent="0.3">
      <c r="A319" s="19" t="s">
        <v>694</v>
      </c>
      <c r="B319" s="20" t="s">
        <v>695</v>
      </c>
      <c r="C319" s="15" t="s">
        <v>57</v>
      </c>
      <c r="D319" s="17">
        <v>1028.8499999999999</v>
      </c>
      <c r="E319" s="56">
        <f t="shared" si="7"/>
        <v>1028.8499999999999</v>
      </c>
      <c r="F319" s="17">
        <v>47.52</v>
      </c>
      <c r="G319" s="18">
        <f t="shared" si="8"/>
        <v>48890.95</v>
      </c>
      <c r="ZZ319" t="s">
        <v>12</v>
      </c>
      <c r="AAA319" s="12" t="s">
        <v>696</v>
      </c>
    </row>
    <row r="320" spans="1:703" x14ac:dyDescent="0.3">
      <c r="A320" s="19" t="s">
        <v>697</v>
      </c>
      <c r="B320" s="20" t="s">
        <v>698</v>
      </c>
      <c r="C320" s="15" t="s">
        <v>26</v>
      </c>
      <c r="D320" s="24">
        <v>238</v>
      </c>
      <c r="E320" s="56">
        <f t="shared" si="7"/>
        <v>238</v>
      </c>
      <c r="F320" s="17">
        <v>13.2</v>
      </c>
      <c r="G320" s="18">
        <f t="shared" si="8"/>
        <v>3141.6</v>
      </c>
      <c r="ZZ320" t="s">
        <v>12</v>
      </c>
      <c r="AAA320" s="12" t="s">
        <v>699</v>
      </c>
    </row>
    <row r="321" spans="1:703" x14ac:dyDescent="0.3">
      <c r="A321" s="19" t="s">
        <v>700</v>
      </c>
      <c r="B321" s="20" t="s">
        <v>297</v>
      </c>
      <c r="C321" s="15" t="s">
        <v>26</v>
      </c>
      <c r="D321" s="24">
        <v>67.2</v>
      </c>
      <c r="E321" s="56">
        <f t="shared" si="7"/>
        <v>67.2</v>
      </c>
      <c r="F321" s="17">
        <v>20.46</v>
      </c>
      <c r="G321" s="18">
        <f t="shared" si="8"/>
        <v>1374.91</v>
      </c>
      <c r="ZZ321" t="s">
        <v>12</v>
      </c>
      <c r="AAA321" s="12" t="s">
        <v>701</v>
      </c>
    </row>
    <row r="322" spans="1:703" ht="26.4" x14ac:dyDescent="0.3">
      <c r="A322" s="19" t="s">
        <v>702</v>
      </c>
      <c r="B322" s="20" t="s">
        <v>300</v>
      </c>
      <c r="C322" s="15" t="s">
        <v>26</v>
      </c>
      <c r="D322" s="24">
        <v>51.2</v>
      </c>
      <c r="E322" s="56">
        <f t="shared" si="7"/>
        <v>51.2</v>
      </c>
      <c r="F322" s="17">
        <v>36.83</v>
      </c>
      <c r="G322" s="18">
        <f t="shared" si="8"/>
        <v>1885.7</v>
      </c>
      <c r="ZZ322" t="s">
        <v>12</v>
      </c>
      <c r="AAA322" s="12" t="s">
        <v>703</v>
      </c>
    </row>
    <row r="323" spans="1:703" ht="26.4" x14ac:dyDescent="0.3">
      <c r="A323" s="19" t="s">
        <v>704</v>
      </c>
      <c r="B323" s="20" t="s">
        <v>303</v>
      </c>
      <c r="C323" s="15" t="s">
        <v>304</v>
      </c>
      <c r="D323" s="16">
        <v>1</v>
      </c>
      <c r="E323" s="56">
        <f t="shared" si="7"/>
        <v>1</v>
      </c>
      <c r="F323" s="17">
        <v>1309.44</v>
      </c>
      <c r="G323" s="18">
        <f t="shared" si="8"/>
        <v>1309.44</v>
      </c>
      <c r="ZZ323" t="s">
        <v>12</v>
      </c>
      <c r="AAA323" s="12" t="s">
        <v>705</v>
      </c>
    </row>
    <row r="324" spans="1:703" ht="26.4" x14ac:dyDescent="0.3">
      <c r="A324" s="28" t="s">
        <v>706</v>
      </c>
      <c r="B324" s="29" t="s">
        <v>289</v>
      </c>
      <c r="C324" s="10"/>
      <c r="D324" s="10"/>
      <c r="E324" s="56"/>
      <c r="F324" s="10"/>
      <c r="G324" s="11"/>
      <c r="ZZ324" t="s">
        <v>39</v>
      </c>
      <c r="AAA324" s="12"/>
    </row>
    <row r="325" spans="1:703" ht="26.4" x14ac:dyDescent="0.3">
      <c r="A325" s="19" t="s">
        <v>707</v>
      </c>
      <c r="B325" s="20" t="s">
        <v>291</v>
      </c>
      <c r="C325" s="15" t="s">
        <v>26</v>
      </c>
      <c r="D325" s="24">
        <v>14</v>
      </c>
      <c r="E325" s="56">
        <f t="shared" si="7"/>
        <v>14</v>
      </c>
      <c r="F325" s="17">
        <v>90.89</v>
      </c>
      <c r="G325" s="18">
        <f t="shared" ref="G325:G330" si="9">ROUND(E325*F325,2)</f>
        <v>1272.46</v>
      </c>
      <c r="ZZ325" t="s">
        <v>12</v>
      </c>
      <c r="AAA325" s="12" t="s">
        <v>708</v>
      </c>
    </row>
    <row r="326" spans="1:703" x14ac:dyDescent="0.3">
      <c r="A326" s="19" t="s">
        <v>709</v>
      </c>
      <c r="B326" s="20" t="s">
        <v>294</v>
      </c>
      <c r="C326" s="15" t="s">
        <v>57</v>
      </c>
      <c r="D326" s="17">
        <v>360.82</v>
      </c>
      <c r="E326" s="56">
        <f t="shared" ref="E326:E388" si="10">D326</f>
        <v>360.82</v>
      </c>
      <c r="F326" s="17">
        <v>62.04</v>
      </c>
      <c r="G326" s="18">
        <f t="shared" si="9"/>
        <v>22385.27</v>
      </c>
      <c r="ZZ326" t="s">
        <v>12</v>
      </c>
      <c r="AAA326" s="12" t="s">
        <v>710</v>
      </c>
    </row>
    <row r="327" spans="1:703" x14ac:dyDescent="0.3">
      <c r="A327" s="19" t="s">
        <v>711</v>
      </c>
      <c r="B327" s="20" t="s">
        <v>698</v>
      </c>
      <c r="C327" s="15" t="s">
        <v>26</v>
      </c>
      <c r="D327" s="24">
        <v>140</v>
      </c>
      <c r="E327" s="56">
        <f t="shared" si="10"/>
        <v>140</v>
      </c>
      <c r="F327" s="17">
        <v>13.2</v>
      </c>
      <c r="G327" s="18">
        <f t="shared" si="9"/>
        <v>1848</v>
      </c>
      <c r="ZZ327" t="s">
        <v>12</v>
      </c>
      <c r="AAA327" s="12" t="s">
        <v>712</v>
      </c>
    </row>
    <row r="328" spans="1:703" x14ac:dyDescent="0.3">
      <c r="A328" s="19" t="s">
        <v>713</v>
      </c>
      <c r="B328" s="20" t="s">
        <v>297</v>
      </c>
      <c r="C328" s="15" t="s">
        <v>26</v>
      </c>
      <c r="D328" s="24">
        <v>17.600000000000001</v>
      </c>
      <c r="E328" s="56">
        <f t="shared" si="10"/>
        <v>17.600000000000001</v>
      </c>
      <c r="F328" s="17">
        <v>20.46</v>
      </c>
      <c r="G328" s="18">
        <f t="shared" si="9"/>
        <v>360.1</v>
      </c>
      <c r="ZZ328" t="s">
        <v>12</v>
      </c>
      <c r="AAA328" s="12" t="s">
        <v>714</v>
      </c>
    </row>
    <row r="329" spans="1:703" ht="26.4" x14ac:dyDescent="0.3">
      <c r="A329" s="19" t="s">
        <v>715</v>
      </c>
      <c r="B329" s="20" t="s">
        <v>300</v>
      </c>
      <c r="C329" s="15" t="s">
        <v>26</v>
      </c>
      <c r="D329" s="24">
        <v>15</v>
      </c>
      <c r="E329" s="56">
        <f t="shared" si="10"/>
        <v>15</v>
      </c>
      <c r="F329" s="17">
        <v>36.83</v>
      </c>
      <c r="G329" s="18">
        <f t="shared" si="9"/>
        <v>552.45000000000005</v>
      </c>
      <c r="ZZ329" t="s">
        <v>12</v>
      </c>
      <c r="AAA329" s="12" t="s">
        <v>716</v>
      </c>
    </row>
    <row r="330" spans="1:703" ht="26.4" x14ac:dyDescent="0.3">
      <c r="A330" s="19" t="s">
        <v>717</v>
      </c>
      <c r="B330" s="20" t="s">
        <v>303</v>
      </c>
      <c r="C330" s="15" t="s">
        <v>304</v>
      </c>
      <c r="D330" s="16">
        <v>1</v>
      </c>
      <c r="E330" s="56">
        <f t="shared" si="10"/>
        <v>1</v>
      </c>
      <c r="F330" s="17">
        <v>1309.44</v>
      </c>
      <c r="G330" s="18">
        <f t="shared" si="9"/>
        <v>1309.44</v>
      </c>
      <c r="ZZ330" t="s">
        <v>12</v>
      </c>
      <c r="AAA330" s="12" t="s">
        <v>718</v>
      </c>
    </row>
    <row r="331" spans="1:703" x14ac:dyDescent="0.3">
      <c r="A331" s="28" t="s">
        <v>719</v>
      </c>
      <c r="B331" s="29" t="s">
        <v>720</v>
      </c>
      <c r="C331" s="10"/>
      <c r="D331" s="10"/>
      <c r="E331" s="56"/>
      <c r="F331" s="10"/>
      <c r="G331" s="11"/>
      <c r="ZZ331" t="s">
        <v>39</v>
      </c>
      <c r="AAA331" s="12"/>
    </row>
    <row r="332" spans="1:703" x14ac:dyDescent="0.3">
      <c r="A332" s="19" t="s">
        <v>721</v>
      </c>
      <c r="B332" s="20" t="s">
        <v>695</v>
      </c>
      <c r="C332" s="15" t="s">
        <v>57</v>
      </c>
      <c r="D332" s="17">
        <v>495.27</v>
      </c>
      <c r="E332" s="56">
        <f t="shared" si="10"/>
        <v>495.27</v>
      </c>
      <c r="F332" s="17">
        <v>50.16</v>
      </c>
      <c r="G332" s="18">
        <f>ROUND(E332*F332,2)</f>
        <v>24842.74</v>
      </c>
      <c r="ZZ332" t="s">
        <v>12</v>
      </c>
      <c r="AAA332" s="12" t="s">
        <v>722</v>
      </c>
    </row>
    <row r="333" spans="1:703" x14ac:dyDescent="0.3">
      <c r="A333" s="28" t="s">
        <v>723</v>
      </c>
      <c r="B333" s="29" t="s">
        <v>327</v>
      </c>
      <c r="C333" s="10"/>
      <c r="D333" s="10"/>
      <c r="E333" s="56"/>
      <c r="F333" s="10"/>
      <c r="G333" s="11"/>
      <c r="ZZ333" t="s">
        <v>39</v>
      </c>
      <c r="AAA333" s="12"/>
    </row>
    <row r="334" spans="1:703" x14ac:dyDescent="0.3">
      <c r="A334" s="19" t="s">
        <v>724</v>
      </c>
      <c r="B334" s="20" t="s">
        <v>182</v>
      </c>
      <c r="C334" s="15" t="s">
        <v>57</v>
      </c>
      <c r="D334" s="17">
        <v>25.02</v>
      </c>
      <c r="E334" s="56">
        <f t="shared" si="10"/>
        <v>25.02</v>
      </c>
      <c r="F334" s="17">
        <v>40.92</v>
      </c>
      <c r="G334" s="18">
        <f>ROUND(E334*F334,2)</f>
        <v>1023.82</v>
      </c>
      <c r="ZZ334" t="s">
        <v>12</v>
      </c>
      <c r="AAA334" s="12" t="s">
        <v>725</v>
      </c>
    </row>
    <row r="335" spans="1:703" x14ac:dyDescent="0.3">
      <c r="A335" s="19" t="s">
        <v>726</v>
      </c>
      <c r="B335" s="20" t="s">
        <v>727</v>
      </c>
      <c r="C335" s="15" t="s">
        <v>26</v>
      </c>
      <c r="D335" s="24">
        <v>23.8</v>
      </c>
      <c r="E335" s="56">
        <f t="shared" si="10"/>
        <v>23.8</v>
      </c>
      <c r="F335" s="17">
        <v>45.01</v>
      </c>
      <c r="G335" s="18">
        <f>ROUND(E335*F335,2)</f>
        <v>1071.24</v>
      </c>
      <c r="ZZ335" t="s">
        <v>12</v>
      </c>
      <c r="AAA335" s="12" t="s">
        <v>728</v>
      </c>
    </row>
    <row r="336" spans="1:703" x14ac:dyDescent="0.3">
      <c r="A336" s="19" t="s">
        <v>729</v>
      </c>
      <c r="B336" s="20" t="s">
        <v>127</v>
      </c>
      <c r="C336" s="15" t="s">
        <v>124</v>
      </c>
      <c r="D336" s="17">
        <v>290.81</v>
      </c>
      <c r="E336" s="56">
        <f t="shared" si="10"/>
        <v>290.81</v>
      </c>
      <c r="F336" s="17">
        <v>2.4300000000000002</v>
      </c>
      <c r="G336" s="18">
        <f>ROUND(E336*F336,2)</f>
        <v>706.67</v>
      </c>
      <c r="ZZ336" t="s">
        <v>12</v>
      </c>
      <c r="AAA336" s="12" t="s">
        <v>730</v>
      </c>
    </row>
    <row r="337" spans="1:703" x14ac:dyDescent="0.3">
      <c r="A337" s="19" t="s">
        <v>731</v>
      </c>
      <c r="B337" s="20" t="s">
        <v>336</v>
      </c>
      <c r="C337" s="15" t="s">
        <v>42</v>
      </c>
      <c r="D337" s="27">
        <v>2.2370000000000001</v>
      </c>
      <c r="E337" s="57">
        <f t="shared" si="10"/>
        <v>2.2370000000000001</v>
      </c>
      <c r="F337" s="17">
        <v>201.07</v>
      </c>
      <c r="G337" s="18">
        <f>ROUND(E337*F337,2)</f>
        <v>449.79</v>
      </c>
      <c r="ZZ337" t="s">
        <v>12</v>
      </c>
      <c r="AAA337" s="12" t="s">
        <v>732</v>
      </c>
    </row>
    <row r="338" spans="1:703" x14ac:dyDescent="0.3">
      <c r="A338" s="28" t="s">
        <v>733</v>
      </c>
      <c r="B338" s="29" t="s">
        <v>339</v>
      </c>
      <c r="C338" s="10"/>
      <c r="D338" s="10"/>
      <c r="E338" s="56"/>
      <c r="F338" s="10"/>
      <c r="G338" s="11"/>
      <c r="ZZ338" t="s">
        <v>39</v>
      </c>
      <c r="AAA338" s="12"/>
    </row>
    <row r="339" spans="1:703" x14ac:dyDescent="0.3">
      <c r="A339" s="19" t="s">
        <v>734</v>
      </c>
      <c r="B339" s="20" t="s">
        <v>182</v>
      </c>
      <c r="C339" s="15" t="s">
        <v>57</v>
      </c>
      <c r="D339" s="17">
        <v>48.01</v>
      </c>
      <c r="E339" s="56">
        <f t="shared" si="10"/>
        <v>48.01</v>
      </c>
      <c r="F339" s="17">
        <v>45.01</v>
      </c>
      <c r="G339" s="18">
        <f>ROUND(E339*F339,2)</f>
        <v>2160.9299999999998</v>
      </c>
      <c r="ZZ339" t="s">
        <v>12</v>
      </c>
      <c r="AAA339" s="12" t="s">
        <v>735</v>
      </c>
    </row>
    <row r="340" spans="1:703" x14ac:dyDescent="0.3">
      <c r="A340" s="19" t="s">
        <v>736</v>
      </c>
      <c r="B340" s="20" t="s">
        <v>127</v>
      </c>
      <c r="C340" s="15" t="s">
        <v>124</v>
      </c>
      <c r="D340" s="17">
        <v>647.22</v>
      </c>
      <c r="E340" s="56">
        <f t="shared" si="10"/>
        <v>647.22</v>
      </c>
      <c r="F340" s="17">
        <v>2.4300000000000002</v>
      </c>
      <c r="G340" s="18">
        <f>ROUND(E340*F340,2)</f>
        <v>1572.74</v>
      </c>
      <c r="ZZ340" t="s">
        <v>12</v>
      </c>
      <c r="AAA340" s="12" t="s">
        <v>737</v>
      </c>
    </row>
    <row r="341" spans="1:703" x14ac:dyDescent="0.3">
      <c r="A341" s="19" t="s">
        <v>738</v>
      </c>
      <c r="B341" s="20" t="s">
        <v>354</v>
      </c>
      <c r="C341" s="15" t="s">
        <v>42</v>
      </c>
      <c r="D341" s="27">
        <v>3.4620000000000002</v>
      </c>
      <c r="E341" s="56">
        <f t="shared" si="10"/>
        <v>3.4620000000000002</v>
      </c>
      <c r="F341" s="17">
        <v>192.88</v>
      </c>
      <c r="G341" s="18">
        <f>ROUND(E341*F341,2)</f>
        <v>667.75</v>
      </c>
      <c r="ZZ341" t="s">
        <v>12</v>
      </c>
      <c r="AAA341" s="12" t="s">
        <v>739</v>
      </c>
    </row>
    <row r="342" spans="1:703" ht="26.4" x14ac:dyDescent="0.3">
      <c r="A342" s="28" t="s">
        <v>740</v>
      </c>
      <c r="B342" s="29" t="s">
        <v>357</v>
      </c>
      <c r="C342" s="10"/>
      <c r="D342" s="10"/>
      <c r="E342" s="56"/>
      <c r="F342" s="10"/>
      <c r="G342" s="11"/>
      <c r="ZZ342" t="s">
        <v>39</v>
      </c>
      <c r="AAA342" s="12"/>
    </row>
    <row r="343" spans="1:703" x14ac:dyDescent="0.3">
      <c r="A343" s="19" t="s">
        <v>741</v>
      </c>
      <c r="B343" s="20" t="s">
        <v>331</v>
      </c>
      <c r="C343" s="15" t="s">
        <v>57</v>
      </c>
      <c r="D343" s="17">
        <v>34.770000000000003</v>
      </c>
      <c r="E343" s="56">
        <f t="shared" si="10"/>
        <v>34.770000000000003</v>
      </c>
      <c r="F343" s="17">
        <v>32.74</v>
      </c>
      <c r="G343" s="18">
        <f>ROUND(E343*F343,2)</f>
        <v>1138.3699999999999</v>
      </c>
      <c r="ZZ343" t="s">
        <v>12</v>
      </c>
      <c r="AAA343" s="12" t="s">
        <v>742</v>
      </c>
    </row>
    <row r="344" spans="1:703" x14ac:dyDescent="0.3">
      <c r="A344" s="19" t="s">
        <v>743</v>
      </c>
      <c r="B344" s="20" t="s">
        <v>123</v>
      </c>
      <c r="C344" s="15" t="s">
        <v>124</v>
      </c>
      <c r="D344" s="17">
        <v>486.69</v>
      </c>
      <c r="E344" s="56">
        <f t="shared" si="10"/>
        <v>486.69</v>
      </c>
      <c r="F344" s="17">
        <v>1.91</v>
      </c>
      <c r="G344" s="18">
        <f>ROUND(E344*F344,2)</f>
        <v>929.58</v>
      </c>
      <c r="ZZ344" t="s">
        <v>12</v>
      </c>
      <c r="AAA344" s="12" t="s">
        <v>744</v>
      </c>
    </row>
    <row r="345" spans="1:703" x14ac:dyDescent="0.3">
      <c r="A345" s="19" t="s">
        <v>745</v>
      </c>
      <c r="B345" s="20" t="s">
        <v>127</v>
      </c>
      <c r="C345" s="15" t="s">
        <v>124</v>
      </c>
      <c r="D345" s="17">
        <v>69.53</v>
      </c>
      <c r="E345" s="56">
        <f t="shared" si="10"/>
        <v>69.53</v>
      </c>
      <c r="F345" s="17">
        <v>2.4300000000000002</v>
      </c>
      <c r="G345" s="18">
        <f>ROUND(E345*F345,2)</f>
        <v>168.96</v>
      </c>
      <c r="ZZ345" t="s">
        <v>12</v>
      </c>
      <c r="AAA345" s="12" t="s">
        <v>746</v>
      </c>
    </row>
    <row r="346" spans="1:703" x14ac:dyDescent="0.3">
      <c r="A346" s="19" t="s">
        <v>747</v>
      </c>
      <c r="B346" s="20" t="s">
        <v>367</v>
      </c>
      <c r="C346" s="15" t="s">
        <v>42</v>
      </c>
      <c r="D346" s="27">
        <v>6.8150000000000004</v>
      </c>
      <c r="E346" s="56">
        <f t="shared" si="10"/>
        <v>6.8150000000000004</v>
      </c>
      <c r="F346" s="17">
        <v>180.61</v>
      </c>
      <c r="G346" s="18">
        <f>ROUND(E346*F346,2)</f>
        <v>1230.8599999999999</v>
      </c>
      <c r="ZZ346" t="s">
        <v>12</v>
      </c>
      <c r="AAA346" s="12" t="s">
        <v>748</v>
      </c>
    </row>
    <row r="347" spans="1:703" x14ac:dyDescent="0.3">
      <c r="A347" s="28" t="s">
        <v>749</v>
      </c>
      <c r="B347" s="29" t="s">
        <v>750</v>
      </c>
      <c r="C347" s="10"/>
      <c r="D347" s="10"/>
      <c r="E347" s="56"/>
      <c r="F347" s="10"/>
      <c r="G347" s="11"/>
      <c r="ZZ347" t="s">
        <v>39</v>
      </c>
      <c r="AAA347" s="12"/>
    </row>
    <row r="348" spans="1:703" ht="26.4" x14ac:dyDescent="0.3">
      <c r="A348" s="19" t="s">
        <v>751</v>
      </c>
      <c r="B348" s="20" t="s">
        <v>675</v>
      </c>
      <c r="C348" s="15" t="s">
        <v>57</v>
      </c>
      <c r="D348" s="17">
        <v>841.07</v>
      </c>
      <c r="E348" s="56">
        <f t="shared" si="10"/>
        <v>841.07</v>
      </c>
      <c r="F348" s="17">
        <v>99.57</v>
      </c>
      <c r="G348" s="18">
        <f>ROUND(E348*F348,2)</f>
        <v>83745.34</v>
      </c>
      <c r="ZZ348" t="s">
        <v>12</v>
      </c>
      <c r="AAA348" s="12" t="s">
        <v>752</v>
      </c>
    </row>
    <row r="349" spans="1:703" x14ac:dyDescent="0.3">
      <c r="A349" s="28" t="s">
        <v>753</v>
      </c>
      <c r="B349" s="29" t="s">
        <v>370</v>
      </c>
      <c r="C349" s="10"/>
      <c r="D349" s="10"/>
      <c r="E349" s="56"/>
      <c r="F349" s="10"/>
      <c r="G349" s="11"/>
      <c r="ZZ349" t="s">
        <v>39</v>
      </c>
      <c r="AAA349" s="12"/>
    </row>
    <row r="350" spans="1:703" x14ac:dyDescent="0.3">
      <c r="A350" s="19" t="s">
        <v>754</v>
      </c>
      <c r="B350" s="20" t="s">
        <v>372</v>
      </c>
      <c r="C350" s="15" t="s">
        <v>57</v>
      </c>
      <c r="D350" s="17">
        <v>34.770000000000003</v>
      </c>
      <c r="E350" s="56">
        <f t="shared" si="10"/>
        <v>34.770000000000003</v>
      </c>
      <c r="F350" s="17">
        <v>20.46</v>
      </c>
      <c r="G350" s="18">
        <f>ROUND(E350*F350,2)</f>
        <v>711.39</v>
      </c>
      <c r="ZZ350" t="s">
        <v>12</v>
      </c>
      <c r="AAA350" s="12" t="s">
        <v>755</v>
      </c>
    </row>
    <row r="351" spans="1:703" x14ac:dyDescent="0.3">
      <c r="A351" s="28" t="s">
        <v>756</v>
      </c>
      <c r="B351" s="29" t="s">
        <v>386</v>
      </c>
      <c r="C351" s="10"/>
      <c r="D351" s="10"/>
      <c r="E351" s="56"/>
      <c r="F351" s="10"/>
      <c r="G351" s="11"/>
      <c r="ZZ351" t="s">
        <v>39</v>
      </c>
      <c r="AAA351" s="12"/>
    </row>
    <row r="352" spans="1:703" x14ac:dyDescent="0.3">
      <c r="A352" s="30" t="s">
        <v>757</v>
      </c>
      <c r="B352" s="31" t="s">
        <v>239</v>
      </c>
      <c r="C352" s="10"/>
      <c r="D352" s="10"/>
      <c r="E352" s="56"/>
      <c r="F352" s="10"/>
      <c r="G352" s="11"/>
      <c r="ZZ352" t="s">
        <v>141</v>
      </c>
      <c r="AAA352" s="12"/>
    </row>
    <row r="353" spans="1:703" x14ac:dyDescent="0.3">
      <c r="A353" s="19" t="s">
        <v>758</v>
      </c>
      <c r="B353" s="20" t="s">
        <v>759</v>
      </c>
      <c r="C353" s="15" t="s">
        <v>57</v>
      </c>
      <c r="D353" s="17">
        <v>18.399999999999999</v>
      </c>
      <c r="E353" s="56">
        <f t="shared" si="10"/>
        <v>18.399999999999999</v>
      </c>
      <c r="F353" s="17">
        <v>62.04</v>
      </c>
      <c r="G353" s="18">
        <f>ROUND(E353*F353,2)</f>
        <v>1141.54</v>
      </c>
      <c r="ZZ353" t="s">
        <v>12</v>
      </c>
      <c r="AAA353" s="12" t="s">
        <v>760</v>
      </c>
    </row>
    <row r="354" spans="1:703" x14ac:dyDescent="0.3">
      <c r="A354" s="30" t="s">
        <v>761</v>
      </c>
      <c r="B354" s="31" t="s">
        <v>409</v>
      </c>
      <c r="C354" s="10"/>
      <c r="D354" s="10"/>
      <c r="E354" s="56"/>
      <c r="F354" s="10"/>
      <c r="G354" s="11"/>
      <c r="ZZ354" t="s">
        <v>141</v>
      </c>
      <c r="AAA354" s="12"/>
    </row>
    <row r="355" spans="1:703" x14ac:dyDescent="0.3">
      <c r="A355" s="19" t="s">
        <v>762</v>
      </c>
      <c r="B355" s="20" t="s">
        <v>411</v>
      </c>
      <c r="C355" s="15" t="s">
        <v>26</v>
      </c>
      <c r="D355" s="24">
        <v>31</v>
      </c>
      <c r="E355" s="56">
        <f t="shared" si="10"/>
        <v>31</v>
      </c>
      <c r="F355" s="17">
        <v>66</v>
      </c>
      <c r="G355" s="18">
        <f>ROUND(E355*F355,2)</f>
        <v>2046</v>
      </c>
      <c r="ZZ355" t="s">
        <v>12</v>
      </c>
      <c r="AAA355" s="12" t="s">
        <v>763</v>
      </c>
    </row>
    <row r="356" spans="1:703" x14ac:dyDescent="0.3">
      <c r="A356" s="19" t="s">
        <v>764</v>
      </c>
      <c r="B356" s="20" t="s">
        <v>414</v>
      </c>
      <c r="C356" s="15" t="s">
        <v>26</v>
      </c>
      <c r="D356" s="24">
        <v>66.2</v>
      </c>
      <c r="E356" s="56">
        <f t="shared" si="10"/>
        <v>66.2</v>
      </c>
      <c r="F356" s="17">
        <v>66</v>
      </c>
      <c r="G356" s="18">
        <f>ROUND(E356*F356,2)</f>
        <v>4369.2</v>
      </c>
      <c r="ZZ356" t="s">
        <v>12</v>
      </c>
      <c r="AAA356" s="12" t="s">
        <v>765</v>
      </c>
    </row>
    <row r="357" spans="1:703" x14ac:dyDescent="0.3">
      <c r="A357" s="30" t="s">
        <v>766</v>
      </c>
      <c r="B357" s="31" t="s">
        <v>425</v>
      </c>
      <c r="C357" s="10"/>
      <c r="D357" s="10"/>
      <c r="E357" s="56"/>
      <c r="F357" s="10"/>
      <c r="G357" s="11"/>
      <c r="ZZ357" t="s">
        <v>141</v>
      </c>
      <c r="AAA357" s="12"/>
    </row>
    <row r="358" spans="1:703" x14ac:dyDescent="0.3">
      <c r="A358" s="19" t="s">
        <v>767</v>
      </c>
      <c r="B358" s="20" t="s">
        <v>427</v>
      </c>
      <c r="C358" s="15" t="s">
        <v>304</v>
      </c>
      <c r="D358" s="16">
        <v>1</v>
      </c>
      <c r="E358" s="56">
        <f t="shared" si="10"/>
        <v>1</v>
      </c>
      <c r="F358" s="17">
        <v>1227.5999999999999</v>
      </c>
      <c r="G358" s="18">
        <f>ROUND(E358*F358,2)</f>
        <v>1227.5999999999999</v>
      </c>
      <c r="ZZ358" t="s">
        <v>12</v>
      </c>
      <c r="AAA358" s="12" t="s">
        <v>768</v>
      </c>
    </row>
    <row r="359" spans="1:703" x14ac:dyDescent="0.3">
      <c r="A359" s="19" t="s">
        <v>769</v>
      </c>
      <c r="B359" s="20" t="s">
        <v>430</v>
      </c>
      <c r="C359" s="15" t="s">
        <v>304</v>
      </c>
      <c r="D359" s="16">
        <v>2</v>
      </c>
      <c r="E359" s="56">
        <f t="shared" si="10"/>
        <v>2</v>
      </c>
      <c r="F359" s="17">
        <v>290.47000000000003</v>
      </c>
      <c r="G359" s="18">
        <f>ROUND(E359*F359,2)</f>
        <v>580.94000000000005</v>
      </c>
      <c r="ZZ359" t="s">
        <v>12</v>
      </c>
      <c r="AAA359" s="12" t="s">
        <v>770</v>
      </c>
    </row>
    <row r="360" spans="1:703" x14ac:dyDescent="0.3">
      <c r="A360" s="30" t="s">
        <v>771</v>
      </c>
      <c r="B360" s="31" t="s">
        <v>433</v>
      </c>
      <c r="C360" s="10"/>
      <c r="D360" s="10"/>
      <c r="E360" s="56"/>
      <c r="F360" s="10"/>
      <c r="G360" s="11"/>
      <c r="ZZ360" t="s">
        <v>141</v>
      </c>
      <c r="AAA360" s="12"/>
    </row>
    <row r="361" spans="1:703" x14ac:dyDescent="0.3">
      <c r="A361" s="19" t="s">
        <v>772</v>
      </c>
      <c r="B361" s="20" t="s">
        <v>438</v>
      </c>
      <c r="C361" s="15" t="s">
        <v>57</v>
      </c>
      <c r="D361" s="17">
        <v>6.11</v>
      </c>
      <c r="E361" s="56">
        <f t="shared" si="10"/>
        <v>6.11</v>
      </c>
      <c r="F361" s="17">
        <v>128.69999999999999</v>
      </c>
      <c r="G361" s="18">
        <f>ROUND(E361*F361,2)</f>
        <v>786.36</v>
      </c>
      <c r="ZZ361" t="s">
        <v>12</v>
      </c>
      <c r="AAA361" s="12" t="s">
        <v>773</v>
      </c>
    </row>
    <row r="362" spans="1:703" x14ac:dyDescent="0.3">
      <c r="A362" s="30" t="s">
        <v>774</v>
      </c>
      <c r="B362" s="31" t="s">
        <v>441</v>
      </c>
      <c r="C362" s="10"/>
      <c r="D362" s="10"/>
      <c r="E362" s="56"/>
      <c r="F362" s="10"/>
      <c r="G362" s="11"/>
      <c r="ZZ362" t="s">
        <v>141</v>
      </c>
      <c r="AAA362" s="12"/>
    </row>
    <row r="363" spans="1:703" ht="26.4" x14ac:dyDescent="0.3">
      <c r="A363" s="19" t="s">
        <v>775</v>
      </c>
      <c r="B363" s="20" t="s">
        <v>776</v>
      </c>
      <c r="C363" s="15" t="s">
        <v>1</v>
      </c>
      <c r="D363" s="16">
        <v>10</v>
      </c>
      <c r="E363" s="56">
        <f t="shared" si="10"/>
        <v>10</v>
      </c>
      <c r="F363" s="17">
        <v>131.88</v>
      </c>
      <c r="G363" s="18">
        <f>ROUND(E363*F363,2)</f>
        <v>1318.8</v>
      </c>
      <c r="ZZ363" t="s">
        <v>12</v>
      </c>
      <c r="AAA363" s="12" t="s">
        <v>777</v>
      </c>
    </row>
    <row r="364" spans="1:703" ht="26.4" x14ac:dyDescent="0.3">
      <c r="A364" s="19" t="s">
        <v>778</v>
      </c>
      <c r="B364" s="20" t="s">
        <v>779</v>
      </c>
      <c r="C364" s="15" t="s">
        <v>1</v>
      </c>
      <c r="D364" s="16">
        <v>10</v>
      </c>
      <c r="E364" s="56">
        <f t="shared" si="10"/>
        <v>10</v>
      </c>
      <c r="F364" s="17">
        <v>127.55</v>
      </c>
      <c r="G364" s="18">
        <f>ROUND(E364*F364,2)</f>
        <v>1275.5</v>
      </c>
      <c r="ZZ364" t="s">
        <v>12</v>
      </c>
      <c r="AAA364" s="12" t="s">
        <v>780</v>
      </c>
    </row>
    <row r="365" spans="1:703" x14ac:dyDescent="0.3">
      <c r="A365" s="30" t="s">
        <v>781</v>
      </c>
      <c r="B365" s="31" t="s">
        <v>446</v>
      </c>
      <c r="C365" s="10"/>
      <c r="D365" s="10"/>
      <c r="E365" s="56"/>
      <c r="F365" s="10"/>
      <c r="G365" s="11"/>
      <c r="ZZ365" t="s">
        <v>141</v>
      </c>
      <c r="AAA365" s="12"/>
    </row>
    <row r="366" spans="1:703" x14ac:dyDescent="0.3">
      <c r="A366" s="19" t="s">
        <v>782</v>
      </c>
      <c r="B366" s="20" t="s">
        <v>448</v>
      </c>
      <c r="C366" s="15" t="s">
        <v>26</v>
      </c>
      <c r="D366" s="24">
        <v>17.8</v>
      </c>
      <c r="E366" s="56">
        <f t="shared" si="10"/>
        <v>17.8</v>
      </c>
      <c r="F366" s="17">
        <v>87.44</v>
      </c>
      <c r="G366" s="18">
        <f>ROUND(E366*F366,2)</f>
        <v>1556.43</v>
      </c>
      <c r="ZZ366" t="s">
        <v>12</v>
      </c>
      <c r="AAA366" s="12" t="s">
        <v>783</v>
      </c>
    </row>
    <row r="367" spans="1:703" x14ac:dyDescent="0.3">
      <c r="A367" s="30" t="s">
        <v>784</v>
      </c>
      <c r="B367" s="31" t="s">
        <v>456</v>
      </c>
      <c r="C367" s="10"/>
      <c r="D367" s="10"/>
      <c r="E367" s="56"/>
      <c r="F367" s="10"/>
      <c r="G367" s="11"/>
      <c r="ZZ367" t="s">
        <v>141</v>
      </c>
      <c r="AAA367" s="12"/>
    </row>
    <row r="368" spans="1:703" x14ac:dyDescent="0.3">
      <c r="A368" s="19" t="s">
        <v>785</v>
      </c>
      <c r="B368" s="20" t="s">
        <v>786</v>
      </c>
      <c r="C368" s="15" t="s">
        <v>26</v>
      </c>
      <c r="D368" s="24">
        <v>55.6</v>
      </c>
      <c r="E368" s="56">
        <f t="shared" si="10"/>
        <v>55.6</v>
      </c>
      <c r="F368" s="17">
        <v>74.59</v>
      </c>
      <c r="G368" s="18">
        <f>ROUND(E368*F368,2)</f>
        <v>4147.2</v>
      </c>
      <c r="ZZ368" t="s">
        <v>12</v>
      </c>
      <c r="AAA368" s="12" t="s">
        <v>787</v>
      </c>
    </row>
    <row r="369" spans="1:703" x14ac:dyDescent="0.3">
      <c r="A369" s="19" t="s">
        <v>788</v>
      </c>
      <c r="B369" s="20" t="s">
        <v>789</v>
      </c>
      <c r="C369" s="15" t="s">
        <v>26</v>
      </c>
      <c r="D369" s="24">
        <v>147.6</v>
      </c>
      <c r="E369" s="56">
        <f t="shared" si="10"/>
        <v>147.6</v>
      </c>
      <c r="F369" s="17">
        <v>82.06</v>
      </c>
      <c r="G369" s="18">
        <f>ROUND(E369*F369,2)</f>
        <v>12112.06</v>
      </c>
      <c r="ZZ369" t="s">
        <v>12</v>
      </c>
      <c r="AAA369" s="12" t="s">
        <v>790</v>
      </c>
    </row>
    <row r="370" spans="1:703" x14ac:dyDescent="0.3">
      <c r="A370" s="21"/>
      <c r="B370" s="22"/>
      <c r="C370" s="10"/>
      <c r="D370" s="10"/>
      <c r="E370" s="56"/>
      <c r="F370" s="10"/>
      <c r="G370" s="23"/>
    </row>
    <row r="371" spans="1:703" ht="26.4" x14ac:dyDescent="0.3">
      <c r="A371" s="54"/>
      <c r="B371" s="32" t="s">
        <v>791</v>
      </c>
      <c r="C371" s="33"/>
      <c r="D371" s="33"/>
      <c r="E371" s="33"/>
      <c r="F371" s="33"/>
      <c r="G371" s="34">
        <f>SUBTOTAL(109,G317:G370)</f>
        <v>236648.21000000002</v>
      </c>
      <c r="H371" s="35"/>
      <c r="ZZ371" t="s">
        <v>18</v>
      </c>
    </row>
    <row r="372" spans="1:703" x14ac:dyDescent="0.3">
      <c r="A372" s="1"/>
      <c r="B372" s="6"/>
      <c r="C372" s="10"/>
      <c r="D372" s="10"/>
      <c r="E372" s="56"/>
      <c r="F372" s="10"/>
      <c r="G372" s="8"/>
    </row>
    <row r="373" spans="1:703" ht="26.4" x14ac:dyDescent="0.3">
      <c r="A373" s="53" t="s">
        <v>792</v>
      </c>
      <c r="B373" s="9" t="s">
        <v>793</v>
      </c>
      <c r="C373" s="10"/>
      <c r="D373" s="10"/>
      <c r="E373" s="56"/>
      <c r="F373" s="10"/>
      <c r="G373" s="11"/>
      <c r="ZZ373" t="s">
        <v>8</v>
      </c>
      <c r="AAA373" s="12"/>
    </row>
    <row r="374" spans="1:703" x14ac:dyDescent="0.3">
      <c r="A374" s="13" t="s">
        <v>794</v>
      </c>
      <c r="B374" s="14" t="s">
        <v>482</v>
      </c>
      <c r="C374" s="15" t="s">
        <v>57</v>
      </c>
      <c r="D374" s="17">
        <v>250.5</v>
      </c>
      <c r="E374" s="56">
        <f t="shared" si="10"/>
        <v>250.5</v>
      </c>
      <c r="F374" s="17">
        <v>12.18</v>
      </c>
      <c r="G374" s="18">
        <f>ROUND(E374*F374,2)</f>
        <v>3051.09</v>
      </c>
      <c r="ZZ374" t="s">
        <v>12</v>
      </c>
      <c r="AAA374" s="12" t="s">
        <v>795</v>
      </c>
    </row>
    <row r="375" spans="1:703" x14ac:dyDescent="0.3">
      <c r="A375" s="21"/>
      <c r="B375" s="22"/>
      <c r="C375" s="10"/>
      <c r="D375" s="10"/>
      <c r="E375" s="56"/>
      <c r="F375" s="10"/>
      <c r="G375" s="23"/>
    </row>
    <row r="376" spans="1:703" ht="26.4" x14ac:dyDescent="0.3">
      <c r="A376" s="54"/>
      <c r="B376" s="32" t="s">
        <v>796</v>
      </c>
      <c r="C376" s="33"/>
      <c r="D376" s="33"/>
      <c r="E376" s="33"/>
      <c r="F376" s="33"/>
      <c r="G376" s="34">
        <f>SUBTOTAL(109,G374:G375)</f>
        <v>3051.09</v>
      </c>
      <c r="H376" s="35"/>
      <c r="ZZ376" t="s">
        <v>18</v>
      </c>
    </row>
    <row r="377" spans="1:703" x14ac:dyDescent="0.3">
      <c r="A377" s="1"/>
      <c r="B377" s="6"/>
      <c r="C377" s="10"/>
      <c r="D377" s="10"/>
      <c r="E377" s="56"/>
      <c r="F377" s="10"/>
      <c r="G377" s="8"/>
    </row>
    <row r="378" spans="1:703" ht="26.4" x14ac:dyDescent="0.3">
      <c r="A378" s="53" t="s">
        <v>797</v>
      </c>
      <c r="B378" s="9" t="s">
        <v>798</v>
      </c>
      <c r="C378" s="10"/>
      <c r="D378" s="10"/>
      <c r="E378" s="56"/>
      <c r="F378" s="10"/>
      <c r="G378" s="11"/>
      <c r="ZZ378" t="s">
        <v>8</v>
      </c>
      <c r="AAA378" s="12"/>
    </row>
    <row r="379" spans="1:703" x14ac:dyDescent="0.3">
      <c r="A379" s="25" t="s">
        <v>799</v>
      </c>
      <c r="B379" s="26" t="s">
        <v>504</v>
      </c>
      <c r="C379" s="10"/>
      <c r="D379" s="10"/>
      <c r="E379" s="56"/>
      <c r="F379" s="10"/>
      <c r="G379" s="11"/>
      <c r="ZZ379" t="s">
        <v>39</v>
      </c>
      <c r="AAA379" s="12"/>
    </row>
    <row r="380" spans="1:703" x14ac:dyDescent="0.3">
      <c r="A380" s="19" t="s">
        <v>800</v>
      </c>
      <c r="B380" s="20" t="s">
        <v>801</v>
      </c>
      <c r="C380" s="15" t="s">
        <v>26</v>
      </c>
      <c r="D380" s="24">
        <v>2.9</v>
      </c>
      <c r="E380" s="56">
        <f t="shared" si="10"/>
        <v>2.9</v>
      </c>
      <c r="F380" s="17">
        <v>427.98</v>
      </c>
      <c r="G380" s="18">
        <f>ROUND(E380*F380,2)</f>
        <v>1241.1400000000001</v>
      </c>
      <c r="ZZ380" t="s">
        <v>12</v>
      </c>
      <c r="AAA380" s="12" t="s">
        <v>802</v>
      </c>
    </row>
    <row r="381" spans="1:703" x14ac:dyDescent="0.3">
      <c r="A381" s="28" t="s">
        <v>803</v>
      </c>
      <c r="B381" s="29" t="s">
        <v>517</v>
      </c>
      <c r="C381" s="10"/>
      <c r="D381" s="10"/>
      <c r="E381" s="56"/>
      <c r="F381" s="10"/>
      <c r="G381" s="11"/>
      <c r="ZZ381" t="s">
        <v>39</v>
      </c>
      <c r="AAA381" s="12"/>
    </row>
    <row r="382" spans="1:703" ht="26.4" x14ac:dyDescent="0.3">
      <c r="A382" s="19" t="s">
        <v>804</v>
      </c>
      <c r="B382" s="20" t="s">
        <v>805</v>
      </c>
      <c r="C382" s="15" t="s">
        <v>26</v>
      </c>
      <c r="D382" s="24">
        <v>1</v>
      </c>
      <c r="E382" s="56">
        <f t="shared" si="10"/>
        <v>1</v>
      </c>
      <c r="F382" s="17">
        <v>135.4</v>
      </c>
      <c r="G382" s="18">
        <f t="shared" ref="G382:G388" si="11">ROUND(E382*F382,2)</f>
        <v>135.4</v>
      </c>
      <c r="ZZ382" t="s">
        <v>12</v>
      </c>
      <c r="AAA382" s="12" t="s">
        <v>806</v>
      </c>
    </row>
    <row r="383" spans="1:703" ht="26.4" x14ac:dyDescent="0.3">
      <c r="A383" s="19" t="s">
        <v>807</v>
      </c>
      <c r="B383" s="20" t="s">
        <v>808</v>
      </c>
      <c r="C383" s="15" t="s">
        <v>26</v>
      </c>
      <c r="D383" s="24">
        <v>4.8</v>
      </c>
      <c r="E383" s="56">
        <f t="shared" si="10"/>
        <v>4.8</v>
      </c>
      <c r="F383" s="17">
        <v>541.62</v>
      </c>
      <c r="G383" s="18">
        <f t="shared" si="11"/>
        <v>2599.7800000000002</v>
      </c>
      <c r="ZZ383" t="s">
        <v>12</v>
      </c>
      <c r="AAA383" s="12" t="s">
        <v>809</v>
      </c>
    </row>
    <row r="384" spans="1:703" ht="26.4" x14ac:dyDescent="0.3">
      <c r="A384" s="19" t="s">
        <v>810</v>
      </c>
      <c r="B384" s="20" t="s">
        <v>811</v>
      </c>
      <c r="C384" s="15" t="s">
        <v>26</v>
      </c>
      <c r="D384" s="24">
        <v>0.6</v>
      </c>
      <c r="E384" s="56">
        <f t="shared" si="10"/>
        <v>0.6</v>
      </c>
      <c r="F384" s="17">
        <v>541.62</v>
      </c>
      <c r="G384" s="18">
        <f t="shared" si="11"/>
        <v>324.97000000000003</v>
      </c>
      <c r="ZZ384" t="s">
        <v>12</v>
      </c>
      <c r="AAA384" s="12" t="s">
        <v>812</v>
      </c>
    </row>
    <row r="385" spans="1:703" ht="26.4" x14ac:dyDescent="0.3">
      <c r="A385" s="19" t="s">
        <v>813</v>
      </c>
      <c r="B385" s="20" t="s">
        <v>814</v>
      </c>
      <c r="C385" s="15" t="s">
        <v>26</v>
      </c>
      <c r="D385" s="24">
        <v>4.2</v>
      </c>
      <c r="E385" s="56">
        <f t="shared" si="10"/>
        <v>4.2</v>
      </c>
      <c r="F385" s="17">
        <v>486.15</v>
      </c>
      <c r="G385" s="18">
        <f t="shared" si="11"/>
        <v>2041.83</v>
      </c>
      <c r="ZZ385" t="s">
        <v>12</v>
      </c>
      <c r="AAA385" s="12" t="s">
        <v>815</v>
      </c>
    </row>
    <row r="386" spans="1:703" ht="26.4" x14ac:dyDescent="0.3">
      <c r="A386" s="19" t="s">
        <v>816</v>
      </c>
      <c r="B386" s="20" t="s">
        <v>817</v>
      </c>
      <c r="C386" s="15" t="s">
        <v>26</v>
      </c>
      <c r="D386" s="24">
        <v>7.1</v>
      </c>
      <c r="E386" s="56">
        <f t="shared" si="10"/>
        <v>7.1</v>
      </c>
      <c r="F386" s="17">
        <v>274.07</v>
      </c>
      <c r="G386" s="18">
        <f t="shared" si="11"/>
        <v>1945.9</v>
      </c>
      <c r="ZZ386" t="s">
        <v>12</v>
      </c>
      <c r="AAA386" s="12" t="s">
        <v>818</v>
      </c>
    </row>
    <row r="387" spans="1:703" ht="26.4" x14ac:dyDescent="0.3">
      <c r="A387" s="19" t="s">
        <v>819</v>
      </c>
      <c r="B387" s="20" t="s">
        <v>820</v>
      </c>
      <c r="C387" s="15" t="s">
        <v>26</v>
      </c>
      <c r="D387" s="24">
        <v>3.1</v>
      </c>
      <c r="E387" s="56">
        <f t="shared" si="10"/>
        <v>3.1</v>
      </c>
      <c r="F387" s="17">
        <v>508.99</v>
      </c>
      <c r="G387" s="18">
        <f t="shared" si="11"/>
        <v>1577.87</v>
      </c>
      <c r="ZZ387" t="s">
        <v>12</v>
      </c>
      <c r="AAA387" s="12" t="s">
        <v>821</v>
      </c>
    </row>
    <row r="388" spans="1:703" ht="26.4" x14ac:dyDescent="0.3">
      <c r="A388" s="19" t="s">
        <v>822</v>
      </c>
      <c r="B388" s="20" t="s">
        <v>823</v>
      </c>
      <c r="C388" s="15" t="s">
        <v>26</v>
      </c>
      <c r="D388" s="24">
        <v>2.4</v>
      </c>
      <c r="E388" s="56">
        <f t="shared" si="10"/>
        <v>2.4</v>
      </c>
      <c r="F388" s="17">
        <v>508.99</v>
      </c>
      <c r="G388" s="18">
        <f t="shared" si="11"/>
        <v>1221.58</v>
      </c>
      <c r="ZZ388" t="s">
        <v>12</v>
      </c>
      <c r="AAA388" s="12" t="s">
        <v>824</v>
      </c>
    </row>
    <row r="389" spans="1:703" x14ac:dyDescent="0.3">
      <c r="A389" s="28" t="s">
        <v>825</v>
      </c>
      <c r="B389" s="29" t="s">
        <v>531</v>
      </c>
      <c r="C389" s="10"/>
      <c r="D389" s="10"/>
      <c r="E389" s="56"/>
      <c r="F389" s="10"/>
      <c r="G389" s="11"/>
      <c r="ZZ389" t="s">
        <v>39</v>
      </c>
      <c r="AAA389" s="12"/>
    </row>
    <row r="390" spans="1:703" x14ac:dyDescent="0.3">
      <c r="A390" s="19" t="s">
        <v>826</v>
      </c>
      <c r="B390" s="20" t="s">
        <v>827</v>
      </c>
      <c r="C390" s="15" t="s">
        <v>1</v>
      </c>
      <c r="D390" s="16">
        <v>2</v>
      </c>
      <c r="E390" s="56">
        <f t="shared" ref="E390:E392" si="12">D390</f>
        <v>2</v>
      </c>
      <c r="F390" s="17">
        <v>3800.28</v>
      </c>
      <c r="G390" s="18">
        <f>ROUND(E390*F390,2)</f>
        <v>7600.56</v>
      </c>
      <c r="ZZ390" t="s">
        <v>12</v>
      </c>
      <c r="AAA390" s="12" t="s">
        <v>828</v>
      </c>
    </row>
    <row r="391" spans="1:703" x14ac:dyDescent="0.3">
      <c r="A391" s="28" t="s">
        <v>829</v>
      </c>
      <c r="B391" s="29" t="s">
        <v>830</v>
      </c>
      <c r="C391" s="10"/>
      <c r="D391" s="10"/>
      <c r="E391" s="56"/>
      <c r="F391" s="10"/>
      <c r="G391" s="11"/>
      <c r="ZZ391" t="s">
        <v>39</v>
      </c>
      <c r="AAA391" s="12"/>
    </row>
    <row r="392" spans="1:703" x14ac:dyDescent="0.3">
      <c r="A392" s="19" t="s">
        <v>831</v>
      </c>
      <c r="B392" s="20" t="s">
        <v>832</v>
      </c>
      <c r="C392" s="15" t="s">
        <v>1</v>
      </c>
      <c r="D392" s="16">
        <v>4</v>
      </c>
      <c r="E392" s="56">
        <f t="shared" si="12"/>
        <v>4</v>
      </c>
      <c r="F392" s="17">
        <v>654.72</v>
      </c>
      <c r="G392" s="18">
        <f>ROUND(E392*F392,2)</f>
        <v>2618.88</v>
      </c>
      <c r="ZZ392" t="s">
        <v>12</v>
      </c>
      <c r="AAA392" s="12" t="s">
        <v>833</v>
      </c>
    </row>
    <row r="393" spans="1:703" x14ac:dyDescent="0.3">
      <c r="A393" s="21"/>
      <c r="B393" s="22"/>
      <c r="C393" s="10"/>
      <c r="D393" s="10"/>
      <c r="E393" s="58"/>
      <c r="F393" s="10"/>
      <c r="G393" s="23"/>
    </row>
    <row r="394" spans="1:703" ht="26.4" x14ac:dyDescent="0.3">
      <c r="A394" s="54"/>
      <c r="B394" s="32" t="s">
        <v>834</v>
      </c>
      <c r="C394" s="33"/>
      <c r="D394" s="33"/>
      <c r="E394" s="33"/>
      <c r="F394" s="33"/>
      <c r="G394" s="34">
        <f>SUBTOTAL(109,G379:G393)</f>
        <v>21307.91</v>
      </c>
      <c r="H394" s="35"/>
      <c r="ZZ394" t="s">
        <v>18</v>
      </c>
    </row>
    <row r="395" spans="1:703" ht="15" thickBot="1" x14ac:dyDescent="0.35">
      <c r="A395" s="35"/>
      <c r="B395" s="36"/>
      <c r="C395" s="10"/>
      <c r="D395" s="10"/>
      <c r="E395" s="10"/>
      <c r="F395" s="10"/>
      <c r="G395" s="11"/>
    </row>
    <row r="396" spans="1:703" x14ac:dyDescent="0.3">
      <c r="A396" s="37"/>
      <c r="B396" s="38"/>
      <c r="C396" s="38"/>
      <c r="D396" s="38"/>
      <c r="E396" s="38"/>
      <c r="F396" s="38"/>
      <c r="G396" s="39"/>
    </row>
    <row r="397" spans="1:703" ht="15.6" x14ac:dyDescent="0.3">
      <c r="A397" s="40"/>
      <c r="B397" s="41" t="s">
        <v>835</v>
      </c>
      <c r="C397" s="42"/>
      <c r="D397" s="42"/>
      <c r="E397" s="42"/>
      <c r="F397" s="42"/>
      <c r="G397" s="43">
        <f>SUBTOTAL(109,G4:G395)</f>
        <v>1044999.999999999</v>
      </c>
      <c r="ZZ397" t="s">
        <v>836</v>
      </c>
    </row>
    <row r="398" spans="1:703" ht="15.6" x14ac:dyDescent="0.3">
      <c r="A398" s="44">
        <v>20</v>
      </c>
      <c r="B398" s="45" t="str">
        <f>CONCATENATE("Montant TVA (",A398,"%)")</f>
        <v>Montant TVA (20%)</v>
      </c>
      <c r="C398" s="42"/>
      <c r="D398" s="42"/>
      <c r="E398" s="42"/>
      <c r="F398" s="42"/>
      <c r="G398" s="46">
        <f>(G397*A398)/100</f>
        <v>208999.99999999977</v>
      </c>
      <c r="ZZ398" t="s">
        <v>837</v>
      </c>
    </row>
    <row r="399" spans="1:703" ht="15.6" x14ac:dyDescent="0.3">
      <c r="A399" s="40"/>
      <c r="B399" s="45" t="s">
        <v>838</v>
      </c>
      <c r="C399" s="42"/>
      <c r="D399" s="42"/>
      <c r="E399" s="42"/>
      <c r="F399" s="42"/>
      <c r="G399" s="46">
        <f>G397+G398</f>
        <v>1253999.9999999986</v>
      </c>
      <c r="ZZ399" t="s">
        <v>839</v>
      </c>
    </row>
    <row r="400" spans="1:703" ht="15" thickBot="1" x14ac:dyDescent="0.35">
      <c r="A400" s="47"/>
      <c r="B400" s="48"/>
      <c r="C400" s="48"/>
      <c r="D400" s="48"/>
      <c r="E400" s="48"/>
      <c r="F400" s="48"/>
      <c r="G400" s="49"/>
    </row>
    <row r="401" spans="1:7" ht="37.5" customHeight="1" x14ac:dyDescent="0.3">
      <c r="A401" s="62"/>
      <c r="B401" s="62"/>
      <c r="C401" s="62"/>
      <c r="D401" s="62"/>
      <c r="E401" s="62"/>
      <c r="F401" s="62"/>
      <c r="G401" s="62"/>
    </row>
  </sheetData>
  <mergeCells count="2">
    <mergeCell ref="A1:G1"/>
    <mergeCell ref="A401:G401"/>
  </mergeCells>
  <printOptions horizontalCentered="1"/>
  <pageMargins left="7.874015748031496E-2" right="7.874015748031496E-2" top="7.874015748031496E-2" bottom="0.6692913385826772" header="0.74803149606299213" footer="0.19685039370078741"/>
  <pageSetup paperSize="9" scale="92" fitToHeight="0" orientation="portrait" r:id="rId1"/>
  <headerFooter>
    <oddFooter>&amp;LLes quantités indiquées dans la DPGF sont données à titre indicatif. L'entreprise se doit de les vérifier et de les corriger le cas échéant.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725564-d2d9-4c60-9ff2-19c12357952c">
      <Terms xmlns="http://schemas.microsoft.com/office/infopath/2007/PartnerControls"/>
    </lcf76f155ced4ddcb4097134ff3c332f>
    <TaxCatchAll xmlns="6ccd0b62-eedf-485e-a196-d810b5ee6f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4751CF5C730249A4DDDDBF9A93CE8B" ma:contentTypeVersion="15" ma:contentTypeDescription="Create a new document." ma:contentTypeScope="" ma:versionID="27a3985b8b003a7fc6b154a9f22ca015">
  <xsd:schema xmlns:xsd="http://www.w3.org/2001/XMLSchema" xmlns:xs="http://www.w3.org/2001/XMLSchema" xmlns:p="http://schemas.microsoft.com/office/2006/metadata/properties" xmlns:ns2="0c725564-d2d9-4c60-9ff2-19c12357952c" xmlns:ns3="6ccd0b62-eedf-485e-a196-d810b5ee6f97" targetNamespace="http://schemas.microsoft.com/office/2006/metadata/properties" ma:root="true" ma:fieldsID="b936c7f3fe722e955e9bdcd689e0768c" ns2:_="" ns3:_="">
    <xsd:import namespace="0c725564-d2d9-4c60-9ff2-19c12357952c"/>
    <xsd:import namespace="6ccd0b62-eedf-485e-a196-d810b5ee6f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25564-d2d9-4c60-9ff2-19c123579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9f62988-b6a1-4004-86c7-dafef6d04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d0b62-eedf-485e-a196-d810b5ee6f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565576-9c54-4f6e-8508-b1e1a27eb1fa}" ma:internalName="TaxCatchAll" ma:showField="CatchAllData" ma:web="6ccd0b62-eedf-485e-a196-d810b5ee6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FCF52-E77B-4295-9108-0CD9BCC86414}">
  <ds:schemaRefs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6ccd0b62-eedf-485e-a196-d810b5ee6f97"/>
    <ds:schemaRef ds:uri="0c725564-d2d9-4c60-9ff2-19c12357952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A9F34E-CDA2-49E1-AE12-EE0367336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BD9F19-6177-4F0E-BF2D-D29DA30F3EA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Lot N°32 Page de garde</vt:lpstr>
      <vt:lpstr>Lot N°32 GROS-OEUVRE</vt:lpstr>
      <vt:lpstr>'Lot N°32 GROS-OEUVRE'!Impression_des_titres</vt:lpstr>
      <vt:lpstr>'Lot N°32 GROS-OEUVRE'!Zone_d_impression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egilibert</dc:creator>
  <cp:keywords/>
  <dc:description/>
  <cp:lastModifiedBy>Fébée Bluzet</cp:lastModifiedBy>
  <cp:revision/>
  <dcterms:created xsi:type="dcterms:W3CDTF">2025-06-27T07:10:18Z</dcterms:created>
  <dcterms:modified xsi:type="dcterms:W3CDTF">2026-01-13T14:55:53Z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0x010100544751CF5C730249A4DDDDBF9A93CE8B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