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federaly69-my.sharepoint.com/personal/severine_poupin_federaly_fr/Documents/Applications/Bureau/AVANCEMENT/"/>
    </mc:Choice>
  </mc:AlternateContent>
  <xr:revisionPtr revIDLastSave="2914" documentId="13_ncr:1_{C531A2EF-D523-4DAD-AE24-9C79FE1C3DF4}" xr6:coauthVersionLast="47" xr6:coauthVersionMax="47" xr10:uidLastSave="{DD86E666-B424-48AD-B748-B1CF73B94281}"/>
  <bookViews>
    <workbookView xWindow="28680" yWindow="-120" windowWidth="29040" windowHeight="15720" tabRatio="987" xr2:uid="{00000000-000D-0000-FFFF-FFFF00000000}"/>
  </bookViews>
  <sheets>
    <sheet name="JANVIER 2017" sheetId="7" r:id="rId1"/>
    <sheet name="Feuil3" sheetId="8" r:id="rId2"/>
    <sheet name="Feuil1" sheetId="5" r:id="rId3"/>
  </sheets>
  <definedNames>
    <definedName name="__xlnm_Print_Area">NA()</definedName>
    <definedName name="__xlnm_Print_Area_1">NA()</definedName>
    <definedName name="__xlnm_Print_Area_2">NA()</definedName>
    <definedName name="__xlnm_Print_Area_3">NA()</definedName>
    <definedName name="_xlnm.Print_Area" localSheetId="0">'JANVIER 2017'!$B$3:$K$427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6" i="7" l="1"/>
  <c r="G395" i="7"/>
  <c r="G394" i="7"/>
  <c r="G393" i="7"/>
  <c r="G392" i="7"/>
  <c r="I392" i="7" s="1"/>
  <c r="K392" i="7" s="1"/>
  <c r="G391" i="7"/>
  <c r="G390" i="7"/>
  <c r="G389" i="7"/>
  <c r="I389" i="7" s="1"/>
  <c r="K389" i="7" s="1"/>
  <c r="G388" i="7"/>
  <c r="G387" i="7"/>
  <c r="G386" i="7"/>
  <c r="G385" i="7"/>
  <c r="G384" i="7"/>
  <c r="G398" i="7" s="1"/>
  <c r="I398" i="7" s="1"/>
  <c r="K398" i="7" s="1"/>
  <c r="G378" i="7"/>
  <c r="I378" i="7" s="1"/>
  <c r="K378" i="7" s="1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I360" i="7" s="1"/>
  <c r="K360" i="7" s="1"/>
  <c r="G359" i="7"/>
  <c r="I359" i="7" s="1"/>
  <c r="K359" i="7" s="1"/>
  <c r="G358" i="7"/>
  <c r="G357" i="7"/>
  <c r="G356" i="7"/>
  <c r="G355" i="7"/>
  <c r="G354" i="7"/>
  <c r="G353" i="7"/>
  <c r="G352" i="7"/>
  <c r="G351" i="7"/>
  <c r="G350" i="7"/>
  <c r="I350" i="7" s="1"/>
  <c r="K350" i="7" s="1"/>
  <c r="G349" i="7"/>
  <c r="G348" i="7"/>
  <c r="G347" i="7"/>
  <c r="G346" i="7"/>
  <c r="G345" i="7"/>
  <c r="G344" i="7"/>
  <c r="I344" i="7" s="1"/>
  <c r="K344" i="7" s="1"/>
  <c r="G343" i="7"/>
  <c r="I343" i="7" s="1"/>
  <c r="K343" i="7" s="1"/>
  <c r="G342" i="7"/>
  <c r="G341" i="7"/>
  <c r="G340" i="7"/>
  <c r="G339" i="7"/>
  <c r="G338" i="7"/>
  <c r="G337" i="7"/>
  <c r="G336" i="7"/>
  <c r="G335" i="7"/>
  <c r="G334" i="7"/>
  <c r="I334" i="7" s="1"/>
  <c r="K334" i="7" s="1"/>
  <c r="G333" i="7"/>
  <c r="G332" i="7"/>
  <c r="G331" i="7"/>
  <c r="G330" i="7"/>
  <c r="G329" i="7"/>
  <c r="G328" i="7"/>
  <c r="G327" i="7"/>
  <c r="G326" i="7"/>
  <c r="G325" i="7"/>
  <c r="G324" i="7"/>
  <c r="G323" i="7"/>
  <c r="G322" i="7"/>
  <c r="G316" i="7"/>
  <c r="G315" i="7"/>
  <c r="G314" i="7"/>
  <c r="G313" i="7"/>
  <c r="G312" i="7"/>
  <c r="G311" i="7"/>
  <c r="G310" i="7"/>
  <c r="I310" i="7" s="1"/>
  <c r="K310" i="7" s="1"/>
  <c r="G309" i="7"/>
  <c r="G308" i="7"/>
  <c r="G307" i="7"/>
  <c r="G306" i="7"/>
  <c r="G305" i="7"/>
  <c r="G304" i="7"/>
  <c r="G303" i="7"/>
  <c r="G302" i="7"/>
  <c r="I302" i="7" s="1"/>
  <c r="K302" i="7" s="1"/>
  <c r="G301" i="7"/>
  <c r="G300" i="7"/>
  <c r="G299" i="7"/>
  <c r="G298" i="7"/>
  <c r="G297" i="7"/>
  <c r="G296" i="7"/>
  <c r="G295" i="7"/>
  <c r="G294" i="7"/>
  <c r="I294" i="7" s="1"/>
  <c r="K294" i="7" s="1"/>
  <c r="G293" i="7"/>
  <c r="G292" i="7"/>
  <c r="G286" i="7"/>
  <c r="G285" i="7"/>
  <c r="G284" i="7"/>
  <c r="G283" i="7"/>
  <c r="I283" i="7" s="1"/>
  <c r="K283" i="7" s="1"/>
  <c r="G282" i="7"/>
  <c r="G281" i="7"/>
  <c r="G280" i="7"/>
  <c r="G279" i="7"/>
  <c r="I279" i="7" s="1"/>
  <c r="K279" i="7" s="1"/>
  <c r="G278" i="7"/>
  <c r="G277" i="7"/>
  <c r="G276" i="7"/>
  <c r="G275" i="7"/>
  <c r="I275" i="7" s="1"/>
  <c r="K275" i="7" s="1"/>
  <c r="G274" i="7"/>
  <c r="G273" i="7"/>
  <c r="G272" i="7"/>
  <c r="G271" i="7"/>
  <c r="I271" i="7" s="1"/>
  <c r="K271" i="7" s="1"/>
  <c r="G270" i="7"/>
  <c r="G269" i="7"/>
  <c r="G268" i="7"/>
  <c r="G267" i="7"/>
  <c r="G288" i="7" s="1"/>
  <c r="G266" i="7"/>
  <c r="G265" i="7"/>
  <c r="G264" i="7"/>
  <c r="G263" i="7"/>
  <c r="G257" i="7"/>
  <c r="G256" i="7"/>
  <c r="G255" i="7"/>
  <c r="G254" i="7"/>
  <c r="G253" i="7"/>
  <c r="G252" i="7"/>
  <c r="G251" i="7"/>
  <c r="I251" i="7" s="1"/>
  <c r="K251" i="7" s="1"/>
  <c r="G250" i="7"/>
  <c r="G249" i="7"/>
  <c r="G248" i="7"/>
  <c r="G247" i="7"/>
  <c r="G246" i="7"/>
  <c r="G245" i="7"/>
  <c r="I245" i="7" s="1"/>
  <c r="K245" i="7" s="1"/>
  <c r="G244" i="7"/>
  <c r="I244" i="7" s="1"/>
  <c r="K244" i="7" s="1"/>
  <c r="G243" i="7"/>
  <c r="G242" i="7"/>
  <c r="I242" i="7" s="1"/>
  <c r="K242" i="7" s="1"/>
  <c r="G241" i="7"/>
  <c r="G240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16" i="7"/>
  <c r="G215" i="7"/>
  <c r="G214" i="7"/>
  <c r="G213" i="7"/>
  <c r="G207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18" i="7"/>
  <c r="G17" i="7"/>
  <c r="G16" i="7"/>
  <c r="G15" i="7"/>
  <c r="G10" i="7"/>
  <c r="G9" i="7"/>
  <c r="I345" i="7"/>
  <c r="K345" i="7" s="1"/>
  <c r="I329" i="7"/>
  <c r="K329" i="7" s="1"/>
  <c r="I327" i="7"/>
  <c r="K327" i="7" s="1"/>
  <c r="I326" i="7"/>
  <c r="K326" i="7" s="1"/>
  <c r="I284" i="7"/>
  <c r="K284" i="7" s="1"/>
  <c r="I282" i="7"/>
  <c r="K282" i="7" s="1"/>
  <c r="I280" i="7"/>
  <c r="K280" i="7" s="1"/>
  <c r="I274" i="7"/>
  <c r="K274" i="7" s="1"/>
  <c r="I272" i="7"/>
  <c r="K272" i="7" s="1"/>
  <c r="I264" i="7"/>
  <c r="K264" i="7" s="1"/>
  <c r="I263" i="7"/>
  <c r="K263" i="7" s="1"/>
  <c r="I397" i="7"/>
  <c r="K397" i="7" s="1"/>
  <c r="I396" i="7"/>
  <c r="K396" i="7" s="1"/>
  <c r="I394" i="7"/>
  <c r="K394" i="7" s="1"/>
  <c r="I391" i="7"/>
  <c r="K391" i="7" s="1"/>
  <c r="I390" i="7"/>
  <c r="K390" i="7" s="1"/>
  <c r="I388" i="7"/>
  <c r="K388" i="7" s="1"/>
  <c r="I387" i="7"/>
  <c r="K387" i="7" s="1"/>
  <c r="I386" i="7"/>
  <c r="K386" i="7" s="1"/>
  <c r="I373" i="7"/>
  <c r="K373" i="7" s="1"/>
  <c r="I372" i="7"/>
  <c r="K372" i="7" s="1"/>
  <c r="I370" i="7"/>
  <c r="K370" i="7" s="1"/>
  <c r="I368" i="7"/>
  <c r="K368" i="7" s="1"/>
  <c r="I367" i="7"/>
  <c r="K367" i="7" s="1"/>
  <c r="I365" i="7"/>
  <c r="K365" i="7" s="1"/>
  <c r="I363" i="7"/>
  <c r="K363" i="7" s="1"/>
  <c r="I362" i="7"/>
  <c r="K362" i="7" s="1"/>
  <c r="I357" i="7"/>
  <c r="K357" i="7" s="1"/>
  <c r="I354" i="7"/>
  <c r="K354" i="7" s="1"/>
  <c r="I352" i="7"/>
  <c r="K352" i="7" s="1"/>
  <c r="I349" i="7"/>
  <c r="K349" i="7" s="1"/>
  <c r="I348" i="7"/>
  <c r="K348" i="7" s="1"/>
  <c r="I347" i="7"/>
  <c r="K347" i="7" s="1"/>
  <c r="I341" i="7"/>
  <c r="K341" i="7" s="1"/>
  <c r="I340" i="7"/>
  <c r="K340" i="7" s="1"/>
  <c r="I339" i="7"/>
  <c r="K339" i="7" s="1"/>
  <c r="I338" i="7"/>
  <c r="K338" i="7" s="1"/>
  <c r="I336" i="7"/>
  <c r="K336" i="7" s="1"/>
  <c r="I333" i="7"/>
  <c r="K333" i="7" s="1"/>
  <c r="I332" i="7"/>
  <c r="K332" i="7" s="1"/>
  <c r="I331" i="7"/>
  <c r="K331" i="7" s="1"/>
  <c r="I330" i="7"/>
  <c r="K330" i="7" s="1"/>
  <c r="I325" i="7"/>
  <c r="K325" i="7" s="1"/>
  <c r="I324" i="7"/>
  <c r="K324" i="7" s="1"/>
  <c r="I323" i="7"/>
  <c r="K323" i="7" s="1"/>
  <c r="I322" i="7"/>
  <c r="K322" i="7" s="1"/>
  <c r="I316" i="7"/>
  <c r="K316" i="7" s="1"/>
  <c r="I315" i="7"/>
  <c r="K315" i="7" s="1"/>
  <c r="I313" i="7"/>
  <c r="K313" i="7" s="1"/>
  <c r="I308" i="7"/>
  <c r="K308" i="7" s="1"/>
  <c r="I307" i="7"/>
  <c r="K307" i="7" s="1"/>
  <c r="I306" i="7"/>
  <c r="K306" i="7" s="1"/>
  <c r="I304" i="7"/>
  <c r="K304" i="7" s="1"/>
  <c r="I303" i="7"/>
  <c r="K303" i="7" s="1"/>
  <c r="I300" i="7"/>
  <c r="K300" i="7" s="1"/>
  <c r="I299" i="7"/>
  <c r="K299" i="7" s="1"/>
  <c r="I298" i="7"/>
  <c r="K298" i="7" s="1"/>
  <c r="I297" i="7"/>
  <c r="K297" i="7" s="1"/>
  <c r="I295" i="7"/>
  <c r="K295" i="7" s="1"/>
  <c r="I293" i="7"/>
  <c r="K293" i="7" s="1"/>
  <c r="I292" i="7"/>
  <c r="K292" i="7" s="1"/>
  <c r="I286" i="7"/>
  <c r="K286" i="7" s="1"/>
  <c r="I278" i="7"/>
  <c r="K278" i="7" s="1"/>
  <c r="I277" i="7"/>
  <c r="K277" i="7" s="1"/>
  <c r="I268" i="7"/>
  <c r="K268" i="7" s="1"/>
  <c r="I266" i="7"/>
  <c r="K266" i="7" s="1"/>
  <c r="I265" i="7"/>
  <c r="K265" i="7" s="1"/>
  <c r="I257" i="7"/>
  <c r="K257" i="7" s="1"/>
  <c r="I256" i="7"/>
  <c r="K256" i="7" s="1"/>
  <c r="I255" i="7"/>
  <c r="K255" i="7" s="1"/>
  <c r="I253" i="7"/>
  <c r="K253" i="7" s="1"/>
  <c r="I252" i="7"/>
  <c r="K252" i="7" s="1"/>
  <c r="I249" i="7"/>
  <c r="K249" i="7" s="1"/>
  <c r="I248" i="7"/>
  <c r="K248" i="7" s="1"/>
  <c r="I247" i="7"/>
  <c r="K247" i="7" s="1"/>
  <c r="I241" i="7"/>
  <c r="K241" i="7" s="1"/>
  <c r="I240" i="7"/>
  <c r="K240" i="7" s="1"/>
  <c r="I384" i="7" l="1"/>
  <c r="K384" i="7" s="1"/>
  <c r="G380" i="7"/>
  <c r="G375" i="7"/>
  <c r="G318" i="7"/>
  <c r="G259" i="7"/>
  <c r="G236" i="7"/>
  <c r="I236" i="7" s="1"/>
  <c r="K236" i="7" s="1"/>
  <c r="G218" i="7"/>
  <c r="G209" i="7"/>
  <c r="G204" i="7"/>
  <c r="G121" i="7"/>
  <c r="G77" i="7"/>
  <c r="I69" i="7"/>
  <c r="K69" i="7" s="1"/>
  <c r="I65" i="7"/>
  <c r="K65" i="7" s="1"/>
  <c r="I53" i="7"/>
  <c r="K53" i="7" s="1"/>
  <c r="I51" i="7"/>
  <c r="K51" i="7" s="1"/>
  <c r="G47" i="7"/>
  <c r="I45" i="7"/>
  <c r="K45" i="7" s="1"/>
  <c r="I37" i="7"/>
  <c r="K37" i="7" s="1"/>
  <c r="I35" i="7"/>
  <c r="K35" i="7" s="1"/>
  <c r="I29" i="7"/>
  <c r="K29" i="7" s="1"/>
  <c r="I26" i="7"/>
  <c r="K26" i="7" s="1"/>
  <c r="I25" i="7"/>
  <c r="K25" i="7" s="1"/>
  <c r="I24" i="7"/>
  <c r="K24" i="7" s="1"/>
  <c r="G20" i="7"/>
  <c r="G12" i="7"/>
  <c r="I39" i="7"/>
  <c r="K39" i="7" s="1"/>
  <c r="I36" i="7"/>
  <c r="K36" i="7" s="1"/>
  <c r="I33" i="7"/>
  <c r="K33" i="7" s="1"/>
  <c r="I32" i="7"/>
  <c r="K32" i="7" s="1"/>
  <c r="I31" i="7"/>
  <c r="K31" i="7" s="1"/>
  <c r="I28" i="7"/>
  <c r="K28" i="7" s="1"/>
  <c r="I18" i="7"/>
  <c r="K18" i="7" s="1"/>
  <c r="I17" i="7"/>
  <c r="K17" i="7" s="1"/>
  <c r="I16" i="7"/>
  <c r="K16" i="7" s="1"/>
  <c r="I15" i="7"/>
  <c r="K15" i="7" s="1"/>
  <c r="I237" i="7"/>
  <c r="K237" i="7" s="1"/>
  <c r="I235" i="7"/>
  <c r="K235" i="7" s="1"/>
  <c r="I234" i="7"/>
  <c r="K234" i="7" s="1"/>
  <c r="I233" i="7"/>
  <c r="K233" i="7" s="1"/>
  <c r="I232" i="7"/>
  <c r="K232" i="7" s="1"/>
  <c r="I231" i="7"/>
  <c r="K231" i="7" s="1"/>
  <c r="I230" i="7"/>
  <c r="K230" i="7" s="1"/>
  <c r="I229" i="7"/>
  <c r="K229" i="7" s="1"/>
  <c r="I228" i="7"/>
  <c r="K228" i="7" s="1"/>
  <c r="I227" i="7"/>
  <c r="K227" i="7" s="1"/>
  <c r="I226" i="7"/>
  <c r="K226" i="7" s="1"/>
  <c r="I225" i="7"/>
  <c r="K225" i="7" s="1"/>
  <c r="I224" i="7"/>
  <c r="K224" i="7" s="1"/>
  <c r="I223" i="7"/>
  <c r="K223" i="7" s="1"/>
  <c r="I222" i="7"/>
  <c r="K222" i="7" s="1"/>
  <c r="I216" i="7"/>
  <c r="K216" i="7" s="1"/>
  <c r="I215" i="7"/>
  <c r="K215" i="7" s="1"/>
  <c r="I213" i="7"/>
  <c r="K213" i="7" s="1"/>
  <c r="I207" i="7"/>
  <c r="K207" i="7" s="1"/>
  <c r="I202" i="7"/>
  <c r="K202" i="7" s="1"/>
  <c r="I201" i="7"/>
  <c r="K201" i="7" s="1"/>
  <c r="I198" i="7"/>
  <c r="K198" i="7" s="1"/>
  <c r="I196" i="7"/>
  <c r="K196" i="7" s="1"/>
  <c r="I195" i="7"/>
  <c r="K195" i="7" s="1"/>
  <c r="I193" i="7"/>
  <c r="K193" i="7" s="1"/>
  <c r="I191" i="7"/>
  <c r="K191" i="7" s="1"/>
  <c r="I189" i="7"/>
  <c r="K189" i="7" s="1"/>
  <c r="I187" i="7"/>
  <c r="K187" i="7" s="1"/>
  <c r="I186" i="7"/>
  <c r="K186" i="7" s="1"/>
  <c r="I184" i="7"/>
  <c r="K184" i="7" s="1"/>
  <c r="I183" i="7"/>
  <c r="K183" i="7" s="1"/>
  <c r="I181" i="7"/>
  <c r="K181" i="7" s="1"/>
  <c r="I180" i="7"/>
  <c r="K180" i="7" s="1"/>
  <c r="I178" i="7"/>
  <c r="K178" i="7" s="1"/>
  <c r="I177" i="7"/>
  <c r="K177" i="7" s="1"/>
  <c r="I175" i="7"/>
  <c r="K175" i="7" s="1"/>
  <c r="I173" i="7"/>
  <c r="K173" i="7" s="1"/>
  <c r="I172" i="7"/>
  <c r="K172" i="7" s="1"/>
  <c r="I171" i="7"/>
  <c r="K171" i="7" s="1"/>
  <c r="I170" i="7"/>
  <c r="K170" i="7" s="1"/>
  <c r="I169" i="7"/>
  <c r="K169" i="7" s="1"/>
  <c r="I166" i="7"/>
  <c r="K166" i="7" s="1"/>
  <c r="I164" i="7"/>
  <c r="K164" i="7" s="1"/>
  <c r="I163" i="7"/>
  <c r="K163" i="7" s="1"/>
  <c r="I162" i="7"/>
  <c r="K162" i="7" s="1"/>
  <c r="I160" i="7"/>
  <c r="K160" i="7" s="1"/>
  <c r="I159" i="7"/>
  <c r="K159" i="7" s="1"/>
  <c r="I158" i="7"/>
  <c r="K158" i="7" s="1"/>
  <c r="I157" i="7"/>
  <c r="K157" i="7" s="1"/>
  <c r="I156" i="7"/>
  <c r="K156" i="7" s="1"/>
  <c r="I154" i="7"/>
  <c r="K154" i="7" s="1"/>
  <c r="I153" i="7"/>
  <c r="K153" i="7" s="1"/>
  <c r="I152" i="7"/>
  <c r="K152" i="7" s="1"/>
  <c r="I151" i="7"/>
  <c r="K151" i="7" s="1"/>
  <c r="I150" i="7"/>
  <c r="K150" i="7" s="1"/>
  <c r="I149" i="7"/>
  <c r="K149" i="7" s="1"/>
  <c r="I147" i="7"/>
  <c r="K147" i="7" s="1"/>
  <c r="I146" i="7"/>
  <c r="K146" i="7" s="1"/>
  <c r="I145" i="7"/>
  <c r="K145" i="7" s="1"/>
  <c r="I144" i="7"/>
  <c r="K144" i="7" s="1"/>
  <c r="I142" i="7"/>
  <c r="K142" i="7" s="1"/>
  <c r="I141" i="7"/>
  <c r="K141" i="7" s="1"/>
  <c r="I140" i="7"/>
  <c r="K140" i="7" s="1"/>
  <c r="I139" i="7"/>
  <c r="K139" i="7" s="1"/>
  <c r="I138" i="7"/>
  <c r="K138" i="7" s="1"/>
  <c r="I137" i="7"/>
  <c r="K137" i="7" s="1"/>
  <c r="I135" i="7"/>
  <c r="K135" i="7" s="1"/>
  <c r="I134" i="7"/>
  <c r="K134" i="7" s="1"/>
  <c r="I133" i="7"/>
  <c r="K133" i="7" s="1"/>
  <c r="I132" i="7"/>
  <c r="K132" i="7" s="1"/>
  <c r="I131" i="7"/>
  <c r="K131" i="7" s="1"/>
  <c r="I130" i="7"/>
  <c r="K130" i="7" s="1"/>
  <c r="I128" i="7"/>
  <c r="K128" i="7" s="1"/>
  <c r="I127" i="7"/>
  <c r="K127" i="7" s="1"/>
  <c r="I126" i="7"/>
  <c r="K126" i="7" s="1"/>
  <c r="I125" i="7"/>
  <c r="K125" i="7" s="1"/>
  <c r="I119" i="7"/>
  <c r="K119" i="7" s="1"/>
  <c r="I117" i="7"/>
  <c r="K117" i="7" s="1"/>
  <c r="I115" i="7"/>
  <c r="K115" i="7" s="1"/>
  <c r="I113" i="7"/>
  <c r="K113" i="7" s="1"/>
  <c r="I112" i="7"/>
  <c r="K112" i="7" s="1"/>
  <c r="I110" i="7"/>
  <c r="K110" i="7" s="1"/>
  <c r="I108" i="7"/>
  <c r="K108" i="7" s="1"/>
  <c r="I107" i="7"/>
  <c r="K107" i="7" s="1"/>
  <c r="I104" i="7"/>
  <c r="K104" i="7" s="1"/>
  <c r="I103" i="7"/>
  <c r="K103" i="7" s="1"/>
  <c r="I102" i="7"/>
  <c r="K102" i="7" s="1"/>
  <c r="I101" i="7"/>
  <c r="K101" i="7" s="1"/>
  <c r="I99" i="7"/>
  <c r="K99" i="7" s="1"/>
  <c r="I98" i="7"/>
  <c r="K98" i="7" s="1"/>
  <c r="I97" i="7"/>
  <c r="K97" i="7" s="1"/>
  <c r="I95" i="7"/>
  <c r="K95" i="7" s="1"/>
  <c r="I94" i="7"/>
  <c r="K94" i="7" s="1"/>
  <c r="I93" i="7"/>
  <c r="K93" i="7" s="1"/>
  <c r="I91" i="7"/>
  <c r="K91" i="7" s="1"/>
  <c r="I90" i="7"/>
  <c r="K90" i="7" s="1"/>
  <c r="I89" i="7"/>
  <c r="K89" i="7" s="1"/>
  <c r="I88" i="7"/>
  <c r="K88" i="7" s="1"/>
  <c r="I86" i="7"/>
  <c r="K86" i="7" s="1"/>
  <c r="I84" i="7"/>
  <c r="K84" i="7" s="1"/>
  <c r="I83" i="7"/>
  <c r="K83" i="7" s="1"/>
  <c r="I82" i="7"/>
  <c r="K82" i="7" s="1"/>
  <c r="I81" i="7"/>
  <c r="K81" i="7" s="1"/>
  <c r="I75" i="7"/>
  <c r="K75" i="7" s="1"/>
  <c r="I74" i="7"/>
  <c r="K74" i="7" s="1"/>
  <c r="I72" i="7"/>
  <c r="K72" i="7" s="1"/>
  <c r="I71" i="7"/>
  <c r="K71" i="7" s="1"/>
  <c r="I67" i="7"/>
  <c r="K67" i="7" s="1"/>
  <c r="I63" i="7"/>
  <c r="K63" i="7" s="1"/>
  <c r="I60" i="7"/>
  <c r="K60" i="7" s="1"/>
  <c r="I58" i="7"/>
  <c r="K58" i="7" s="1"/>
  <c r="I57" i="7"/>
  <c r="K57" i="7" s="1"/>
  <c r="I56" i="7"/>
  <c r="K56" i="7" s="1"/>
  <c r="I55" i="7"/>
  <c r="K55" i="7" s="1"/>
  <c r="I44" i="7"/>
  <c r="K44" i="7" s="1"/>
  <c r="I43" i="7"/>
  <c r="K43" i="7" s="1"/>
  <c r="I41" i="7"/>
  <c r="K41" i="7" s="1"/>
  <c r="I40" i="7"/>
  <c r="K40" i="7" s="1"/>
  <c r="I10" i="7"/>
  <c r="K10" i="7" s="1"/>
  <c r="J401" i="7"/>
  <c r="I9" i="7"/>
  <c r="K9" i="7" s="1"/>
  <c r="I405" i="7"/>
  <c r="K405" i="7" s="1"/>
  <c r="I406" i="7"/>
  <c r="K406" i="7" s="1"/>
  <c r="I407" i="7"/>
  <c r="K407" i="7" s="1"/>
  <c r="I408" i="7"/>
  <c r="K408" i="7" s="1"/>
  <c r="I409" i="7"/>
  <c r="K409" i="7" s="1"/>
  <c r="I410" i="7"/>
  <c r="K410" i="7" s="1"/>
  <c r="I413" i="7"/>
  <c r="K413" i="7" s="1"/>
  <c r="I414" i="7"/>
  <c r="K414" i="7" s="1"/>
  <c r="I415" i="7"/>
  <c r="K415" i="7" s="1"/>
  <c r="I416" i="7"/>
  <c r="K416" i="7" s="1"/>
  <c r="I417" i="7"/>
  <c r="K417" i="7" s="1"/>
  <c r="I418" i="7"/>
  <c r="K418" i="7" s="1"/>
  <c r="I419" i="7"/>
  <c r="K419" i="7" s="1"/>
  <c r="G422" i="7"/>
  <c r="J422" i="7"/>
  <c r="G401" i="7" l="1"/>
  <c r="G425" i="7" s="1"/>
  <c r="G426" i="7" s="1"/>
  <c r="G427" i="7" s="1"/>
  <c r="I422" i="7"/>
  <c r="K422" i="7"/>
  <c r="I401" i="7"/>
  <c r="H401" i="7" l="1"/>
  <c r="I425" i="7"/>
  <c r="I426" i="7" s="1"/>
  <c r="I427" i="7" s="1"/>
  <c r="I423" i="7"/>
  <c r="K423" i="7" s="1"/>
  <c r="J425" i="7"/>
  <c r="J426" i="7" s="1"/>
  <c r="J427" i="7" s="1"/>
  <c r="K401" i="7"/>
  <c r="K425" i="7" s="1"/>
  <c r="K426" i="7" s="1"/>
  <c r="K427" i="7" s="1"/>
</calcChain>
</file>

<file path=xl/sharedStrings.xml><?xml version="1.0" encoding="utf-8"?>
<sst xmlns="http://schemas.openxmlformats.org/spreadsheetml/2006/main" count="939" uniqueCount="656">
  <si>
    <t>DESIGNATION</t>
  </si>
  <si>
    <t>U</t>
  </si>
  <si>
    <t>Q</t>
  </si>
  <si>
    <t>PU</t>
  </si>
  <si>
    <t>Montant</t>
  </si>
  <si>
    <t>%</t>
  </si>
  <si>
    <t>Total exécuté</t>
  </si>
  <si>
    <t>Mois précédent</t>
  </si>
  <si>
    <t>Mois en cours</t>
  </si>
  <si>
    <t>Fouilles en rigoles et en trous</t>
  </si>
  <si>
    <t>Béton de fondation coulé y compris aciers pour armatures</t>
  </si>
  <si>
    <t>ELEVATION EN VS</t>
  </si>
  <si>
    <t>PLANCHERS SUR VS</t>
  </si>
  <si>
    <t>Plancher hourdi  20+5 isolant</t>
  </si>
  <si>
    <t>mur en agglo ép 20cm</t>
  </si>
  <si>
    <t>Mur en agglo ép 10cm</t>
  </si>
  <si>
    <t>Enduit sur mur agglo</t>
  </si>
  <si>
    <t>Poteau 20 x 20</t>
  </si>
  <si>
    <t>Coffre titan</t>
  </si>
  <si>
    <t>Poutre Ht 50 x L20 retombé de 30 cm</t>
  </si>
  <si>
    <t>ELEVATION EN R+1</t>
  </si>
  <si>
    <t>OUVERTURES</t>
  </si>
  <si>
    <t>Création d'ouvertures</t>
  </si>
  <si>
    <t>Dimension ht 250 cm x lg 100 cm</t>
  </si>
  <si>
    <t>Dimension ht 155 cm x lg 120 cm</t>
  </si>
  <si>
    <t>Dimension ht 75 cm x lg 60 cm</t>
  </si>
  <si>
    <t>Dimension ht 95 cm x lg 50 cm</t>
  </si>
  <si>
    <t>Etanchéité mur (Revêtement hydrofuge + Delta MS + Solin Alu)</t>
  </si>
  <si>
    <t>DIVERS</t>
  </si>
  <si>
    <t>Tranchée dans dallage existant pour EU/EV</t>
  </si>
  <si>
    <t>Réservation EAU, EDF, FT</t>
  </si>
  <si>
    <t>TOTAL</t>
  </si>
  <si>
    <t>TOTAL H.T.</t>
  </si>
  <si>
    <t>TVA 20,00%</t>
  </si>
  <si>
    <t>TOTAL T.T.C.</t>
  </si>
  <si>
    <t>ST503</t>
  </si>
  <si>
    <t>Frais d'études béton armé</t>
  </si>
  <si>
    <t>€</t>
  </si>
  <si>
    <t>C</t>
  </si>
  <si>
    <t>TVA10</t>
  </si>
  <si>
    <t>Réalisation d'une ouverture dans mur ba pour porte de garage compris linteau métallique  dim 350x220 ht cm</t>
  </si>
  <si>
    <t>Démolition du mur ba entre les 2 garages compris renfort par linteau métallique</t>
  </si>
  <si>
    <t>DEM140</t>
  </si>
  <si>
    <t>Démolition de maçonnerie agglos</t>
  </si>
  <si>
    <t>M2</t>
  </si>
  <si>
    <t>Démolition de cloisons</t>
  </si>
  <si>
    <t>Fourniture et pose d'un tampon fonte sur regard existant dans la cave</t>
  </si>
  <si>
    <t>Réalisation d'une forme en béton dans la cave</t>
  </si>
  <si>
    <t>I</t>
  </si>
  <si>
    <t>Fermeture de l'ouverture existante (100x210ht) en agglos creux</t>
  </si>
  <si>
    <t>Fermeture de l'ancienne porte de garage en agglos creux avec linteaux, appuis et tableaux pour les ouvertures</t>
  </si>
  <si>
    <t>FT</t>
  </si>
  <si>
    <t>Modification d'une ouverture 80x125ht à 410x250ht cm</t>
  </si>
  <si>
    <t>Reprise de la descente EP existante à l'angle de la façade avec regard 50x50 en pied</t>
  </si>
  <si>
    <t>Regard 50x50 pour pompe de relevage</t>
  </si>
  <si>
    <t>Création d'un mur de souténement pour une hauteur de vue de 2.90m, couvertine béton en tête</t>
  </si>
  <si>
    <t>ML</t>
  </si>
  <si>
    <t>Partie enterrée traitée avec peinture bitumineuse, protection delta ms et drain autoroutier</t>
  </si>
  <si>
    <t>Fermeture d'ouvertures en sous sol compris enduit hydrofuge en extérieur</t>
  </si>
  <si>
    <t xml:space="preserve">Création d'une ouverture de 220x110ht </t>
  </si>
  <si>
    <t>Dallage extérieur, plateforme au lot terrassement, compris béton pompé</t>
  </si>
  <si>
    <t>TVA 2 (</t>
  </si>
  <si>
    <t>)</t>
  </si>
  <si>
    <t>x</t>
  </si>
  <si>
    <t xml:space="preserve">Réalisation de terrassement pour bêche hors gel, déblais laissé sur place sous le dallage </t>
  </si>
  <si>
    <t>TVA 20.00%</t>
  </si>
  <si>
    <t>Longrine béton en rive</t>
  </si>
  <si>
    <t>Forfait pour aciers en rive de dalle et treillis soudés pour dalle portée</t>
  </si>
  <si>
    <t>ENS</t>
  </si>
  <si>
    <t>TVA 1 (</t>
  </si>
  <si>
    <t>2.1</t>
  </si>
  <si>
    <t>2.2</t>
  </si>
  <si>
    <t>DALLAGES</t>
  </si>
  <si>
    <t>BAC A SABLE</t>
  </si>
  <si>
    <t>LOT 32 - GROS ŒUVRE</t>
  </si>
  <si>
    <t>PRESTATIONS COMPLEMENTAIRES</t>
  </si>
  <si>
    <t xml:space="preserve">2.1.1 </t>
  </si>
  <si>
    <t>Études d'exécution</t>
  </si>
  <si>
    <t xml:space="preserve">2.1.2 </t>
  </si>
  <si>
    <t>État des lieux par constat d'Huissier</t>
  </si>
  <si>
    <t>Total PRESTATIONS COMPLEMENTAIRES</t>
  </si>
  <si>
    <t>INSTALLATIONS DE CHANTIER</t>
  </si>
  <si>
    <t xml:space="preserve">2.2.1 </t>
  </si>
  <si>
    <t>Installation de chantier</t>
  </si>
  <si>
    <t xml:space="preserve">2.2.2 </t>
  </si>
  <si>
    <t>Clôture de chantier en treillis soudé - ht 2.00 ml</t>
  </si>
  <si>
    <t xml:space="preserve">2.2.3 </t>
  </si>
  <si>
    <t>Portail de chantier pour véhicules - 5.00 x ht 2.00 ml</t>
  </si>
  <si>
    <t xml:space="preserve">2.2.4 </t>
  </si>
  <si>
    <t>Portillon de chantier pour piétons - 0.90 x ht 2.00 ml</t>
  </si>
  <si>
    <t>Total INSTALLATIONS DE CHANTIER</t>
  </si>
  <si>
    <t>3.1</t>
  </si>
  <si>
    <t>FONDATIONS DU COLLECTIF</t>
  </si>
  <si>
    <t>3.1.1</t>
  </si>
  <si>
    <t>TERRASSEMENTS COMPLEMENTAIRES</t>
  </si>
  <si>
    <t xml:space="preserve">3.1.1.1 </t>
  </si>
  <si>
    <t>Fouilles en trous / puits</t>
  </si>
  <si>
    <t xml:space="preserve">3.1.1.2 </t>
  </si>
  <si>
    <t>Fouilles en rigoles</t>
  </si>
  <si>
    <t xml:space="preserve">3.1.1.3 </t>
  </si>
  <si>
    <t>Évacuation des terres excédentaires issues des fouilles</t>
  </si>
  <si>
    <t>3.1.2</t>
  </si>
  <si>
    <t>GROS BETON OU BETON DE PROPRETE</t>
  </si>
  <si>
    <t xml:space="preserve">3.1.2.1 </t>
  </si>
  <si>
    <t>Gros béton - Béton de rattrapage X0 C20/25</t>
  </si>
  <si>
    <t xml:space="preserve">3.1.2.2 </t>
  </si>
  <si>
    <t>Béton de propreté X0 C16/20 - Ep. 5 cm</t>
  </si>
  <si>
    <t>3.1.3</t>
  </si>
  <si>
    <t>SEMELLES ISOLEES</t>
  </si>
  <si>
    <t xml:space="preserve">3.1.3.1 </t>
  </si>
  <si>
    <t>Coffrage pour semelle isolée</t>
  </si>
  <si>
    <t xml:space="preserve">3.1.3.2 </t>
  </si>
  <si>
    <t>Aciers HA  pour semelle isolée</t>
  </si>
  <si>
    <t xml:space="preserve">3.1.3.3 </t>
  </si>
  <si>
    <t>Béton pour semelle isolée : XC2 C25/30</t>
  </si>
  <si>
    <t>3.1.4</t>
  </si>
  <si>
    <t>SEMELLES FILANTES</t>
  </si>
  <si>
    <t xml:space="preserve">3.1.4.1 </t>
  </si>
  <si>
    <t>Coffrage pour semelle filante</t>
  </si>
  <si>
    <t xml:space="preserve">3.1.4.2 </t>
  </si>
  <si>
    <t>Aciers HA pour semelle filante</t>
  </si>
  <si>
    <t xml:space="preserve">3.1.4.3 </t>
  </si>
  <si>
    <t>Béton pour semelle filante : XC2 C25/30</t>
  </si>
  <si>
    <t>3.1.5</t>
  </si>
  <si>
    <t>TIRANTS PARASISMIQUES</t>
  </si>
  <si>
    <t xml:space="preserve">3.1.5.1 </t>
  </si>
  <si>
    <t>Coffrage pour tirants parasismiques</t>
  </si>
  <si>
    <t xml:space="preserve">3.1.5.2 </t>
  </si>
  <si>
    <t>Aciers HA pour tirants parasismiques</t>
  </si>
  <si>
    <t xml:space="preserve">3.1.5.3 </t>
  </si>
  <si>
    <t>Béton pour tirants parasismiques : XC2 C25/30</t>
  </si>
  <si>
    <t>3.1.6</t>
  </si>
  <si>
    <t>LONGRINES</t>
  </si>
  <si>
    <t xml:space="preserve">3.1.6.1 </t>
  </si>
  <si>
    <t>Coffrage pour longrine enterrées</t>
  </si>
  <si>
    <t xml:space="preserve">3.1.6.2 </t>
  </si>
  <si>
    <t>Aciers HA pour longrine</t>
  </si>
  <si>
    <t xml:space="preserve">3.1.6.3 </t>
  </si>
  <si>
    <t>Béton pour longrine : XC2 C25/30</t>
  </si>
  <si>
    <t>Total FONDATIONS DU COLLECTIF</t>
  </si>
  <si>
    <t>3.2</t>
  </si>
  <si>
    <t>DALLAGES ET OUVRAGES LIES DU COLLECTIF</t>
  </si>
  <si>
    <t>3.2.1</t>
  </si>
  <si>
    <t>PREPARATION DE PLATEFORME</t>
  </si>
  <si>
    <t xml:space="preserve">3.2.1.1 </t>
  </si>
  <si>
    <t>Réglage du fond de forme et feutre géotextile</t>
  </si>
  <si>
    <t>3.2.2</t>
  </si>
  <si>
    <t>ISOLATION SOUS DALLAGE</t>
  </si>
  <si>
    <t xml:space="preserve">3.2.2.1 </t>
  </si>
  <si>
    <t>Isolation sous dallage ép 100 mm R= 3.00m².K/W</t>
  </si>
  <si>
    <t>3.2.3</t>
  </si>
  <si>
    <t>DALLAGES EN BETON</t>
  </si>
  <si>
    <t xml:space="preserve">3.2.3.1 </t>
  </si>
  <si>
    <t>Couche de réglage épaisseur 5cm</t>
  </si>
  <si>
    <t xml:space="preserve">3.2.3.2 </t>
  </si>
  <si>
    <t>Aciers Treillis Soudé</t>
  </si>
  <si>
    <t xml:space="preserve">3.2.3.3 </t>
  </si>
  <si>
    <t>Aciers Haute Adhérence</t>
  </si>
  <si>
    <t xml:space="preserve">3.2.3.4 </t>
  </si>
  <si>
    <t>Béton pour dallage : XC2 C25/30</t>
  </si>
  <si>
    <t>3.2.4</t>
  </si>
  <si>
    <t>FINITIONS DE DALLAGES</t>
  </si>
  <si>
    <t xml:space="preserve">3.2.4.1 </t>
  </si>
  <si>
    <t>Cunette périmétrique</t>
  </si>
  <si>
    <t>3.2.5</t>
  </si>
  <si>
    <t>RESEAUX ENTERRES SOUS DALLAGE</t>
  </si>
  <si>
    <t>3.2.5.1</t>
  </si>
  <si>
    <t>RESEAU EAUX PLUVIALES</t>
  </si>
  <si>
    <t xml:space="preserve">3.2.5.1.1 </t>
  </si>
  <si>
    <t>EP : Fouilles en tranchée + canalisation Ø110mm</t>
  </si>
  <si>
    <t>3.2.5.2</t>
  </si>
  <si>
    <t>RESEAU EAUX USEE - EAUX VANNES</t>
  </si>
  <si>
    <t xml:space="preserve">3.2.5.2.1 </t>
  </si>
  <si>
    <t>EU-EV : Fouilles en tranchée + canalisation Ø100mm</t>
  </si>
  <si>
    <t>3.2.5.3</t>
  </si>
  <si>
    <t>RESEAU ELECTRIQUE</t>
  </si>
  <si>
    <t xml:space="preserve">3.2.5.3.1 </t>
  </si>
  <si>
    <t>Électricité : Fouilles en tranchée + fourreau TPC Ø 110 mm</t>
  </si>
  <si>
    <t>3.2.5.4</t>
  </si>
  <si>
    <t>RESEAU TELECOM</t>
  </si>
  <si>
    <t xml:space="preserve">3.2.5.4.1 </t>
  </si>
  <si>
    <t>Télécom : Fouilles en tranchée + 3xPVC Ø 42/45 mm</t>
  </si>
  <si>
    <t>3.2.5.5</t>
  </si>
  <si>
    <t>RESEAU EAU POTABLE</t>
  </si>
  <si>
    <t xml:space="preserve">3.2.5.5.1 </t>
  </si>
  <si>
    <t>Eau potable : Fouilles en tranchée + fourreau + PEHD DN25mm</t>
  </si>
  <si>
    <t xml:space="preserve">3.2.5.5.2 </t>
  </si>
  <si>
    <t>Eau potable : Fouilles en tranchée + fourreau + PEHD DN32mm</t>
  </si>
  <si>
    <t>3.2.5.6</t>
  </si>
  <si>
    <t>REGARDS - SIPHONS - CANIVEAUX</t>
  </si>
  <si>
    <t xml:space="preserve">3.2.5.6.1 </t>
  </si>
  <si>
    <t>Regard béton 40 x 40 x 50 cm ht, tampon grille série légère</t>
  </si>
  <si>
    <t xml:space="preserve">3.2.5.6.2 </t>
  </si>
  <si>
    <t>Regard béton pour pompe de relevage 80 x 80 x 80 cm ht</t>
  </si>
  <si>
    <t>Total DALLAGES ET OUVRAGES LIES DU COLLECTIF</t>
  </si>
  <si>
    <t>3.3</t>
  </si>
  <si>
    <t>TRAVAUX D'INFRASTRUCTURE DU COLLECTIF</t>
  </si>
  <si>
    <t>3.3.1</t>
  </si>
  <si>
    <t>INFRA - VOILES PERIPHERIQUES EN BETON ARME</t>
  </si>
  <si>
    <t xml:space="preserve">3.3.1.1 </t>
  </si>
  <si>
    <t>Coffrage à parement courant</t>
  </si>
  <si>
    <t xml:space="preserve">3.3.1.2 </t>
  </si>
  <si>
    <t xml:space="preserve">3.3.1.3 </t>
  </si>
  <si>
    <t xml:space="preserve">3.3.1.4 </t>
  </si>
  <si>
    <t>Béton pour voiles périphériques en infrastructure : XC2 C25/30</t>
  </si>
  <si>
    <t>3.3.2</t>
  </si>
  <si>
    <t>INFRA - VOILES PERIPHERIQUES EN PREMURS</t>
  </si>
  <si>
    <t xml:space="preserve">3.3.2.1 </t>
  </si>
  <si>
    <t>Prémurs épaisseur 0.20m</t>
  </si>
  <si>
    <t>3.3.3</t>
  </si>
  <si>
    <t>INFRA - VOILES DE REFEND EN BETON ARME</t>
  </si>
  <si>
    <t xml:space="preserve">3.3.3.1 </t>
  </si>
  <si>
    <t xml:space="preserve">3.3.3.2 </t>
  </si>
  <si>
    <t xml:space="preserve">3.3.3.3 </t>
  </si>
  <si>
    <t xml:space="preserve">3.3.3.4 </t>
  </si>
  <si>
    <t>Béton pour voiles de refend en infrastructure : XC1 C25/30</t>
  </si>
  <si>
    <t>3.3.4</t>
  </si>
  <si>
    <t>INFRA - POTEAU EN BETON ARME</t>
  </si>
  <si>
    <t xml:space="preserve">3.3.4.1 </t>
  </si>
  <si>
    <t xml:space="preserve">3.3.4.2 </t>
  </si>
  <si>
    <t xml:space="preserve">3.3.4.3 </t>
  </si>
  <si>
    <t>Béton pour poteau en infrastructure : XC1 C25/30</t>
  </si>
  <si>
    <t>3.3.5</t>
  </si>
  <si>
    <t>INFRA - POUTRES EN BETON ARME</t>
  </si>
  <si>
    <t xml:space="preserve">3.3.5.1 </t>
  </si>
  <si>
    <t xml:space="preserve">3.3.5.2 </t>
  </si>
  <si>
    <t xml:space="preserve">3.3.5.3 </t>
  </si>
  <si>
    <t>Béton pour poutres en infrastructure : XC1 C25/30</t>
  </si>
  <si>
    <t>3.3.6</t>
  </si>
  <si>
    <t>INFRA - PLANCHER BETON ARME COULE EN PLACE</t>
  </si>
  <si>
    <t xml:space="preserve">3.3.6.1 </t>
  </si>
  <si>
    <t xml:space="preserve">3.3.6.2 </t>
  </si>
  <si>
    <t xml:space="preserve">3.3.6.3 </t>
  </si>
  <si>
    <t xml:space="preserve">3.3.6.4 </t>
  </si>
  <si>
    <t>Béton pour plancher en infrastructure : XC1 C25/30</t>
  </si>
  <si>
    <t>3.3.7</t>
  </si>
  <si>
    <t>OUVRAGES DIVERS D'INFRASTRUCTURE</t>
  </si>
  <si>
    <t>3.3.7.1</t>
  </si>
  <si>
    <t>MURS ET CLOISONS EN AGGLOS</t>
  </si>
  <si>
    <t xml:space="preserve">3.3.7.1.1 </t>
  </si>
  <si>
    <t>Cloisons en aggloméré de béton creux - épaisseur 7cm</t>
  </si>
  <si>
    <t xml:space="preserve">3.3.7.1.2 </t>
  </si>
  <si>
    <t>Cloisons en aggloméré de béton creux - épaisseur 10cm</t>
  </si>
  <si>
    <t>3.3.7.2</t>
  </si>
  <si>
    <t>IMPERMEABILISATION</t>
  </si>
  <si>
    <t xml:space="preserve">3.3.7.2.1 </t>
  </si>
  <si>
    <t>Enduit bitumineux épais sur parties enterrées</t>
  </si>
  <si>
    <t>3.3.7.3</t>
  </si>
  <si>
    <t>DRAINAGE ET PROTECTION DES MURS ENTERRES</t>
  </si>
  <si>
    <t xml:space="preserve">3.3.7.3.1 </t>
  </si>
  <si>
    <t>Membrane à excroissance de protection de murs enterrés</t>
  </si>
  <si>
    <t xml:space="preserve">3.3.7.3.2 </t>
  </si>
  <si>
    <t>Drainage en pied de mur compris regards de visite</t>
  </si>
  <si>
    <t>3.3.7.4</t>
  </si>
  <si>
    <t>GAINE DE VENTILATION ENTERREE</t>
  </si>
  <si>
    <t xml:space="preserve">3.3.7.4.1 </t>
  </si>
  <si>
    <t>Gaine de ventilation : Section utile 1.05 x 0.60m ht</t>
  </si>
  <si>
    <t>3.3.7.5</t>
  </si>
  <si>
    <t>COURETTE ANGLAISE</t>
  </si>
  <si>
    <t xml:space="preserve">3.3.7.5.1 </t>
  </si>
  <si>
    <t>Courette anglaise formant édicule : Section intérieure 0.60x1.05x2.40ht + édicule 0.60 x 1.05 x 0.90m ht.</t>
  </si>
  <si>
    <t>3.3.7.6</t>
  </si>
  <si>
    <t xml:space="preserve">3.3.7.6.1 </t>
  </si>
  <si>
    <t>Bac à sable</t>
  </si>
  <si>
    <t>Total TRAVAUX D'INFRASTRUCTURE DU COLLECTIF</t>
  </si>
  <si>
    <t>3.4</t>
  </si>
  <si>
    <t>TRAVAUX DE SUPERSTRUCTURE DU COLLECTIF</t>
  </si>
  <si>
    <t>3.4.1</t>
  </si>
  <si>
    <t>SUPER - VOILES PERIPHERIQUES EN BETON ARME</t>
  </si>
  <si>
    <t xml:space="preserve">3.4.1.1 </t>
  </si>
  <si>
    <t xml:space="preserve">3.4.1.2 </t>
  </si>
  <si>
    <t xml:space="preserve">3.4.1.3 </t>
  </si>
  <si>
    <t xml:space="preserve">3.4.1.4 </t>
  </si>
  <si>
    <t>Béton pour voiles périphériques en superstructure : XF1 C25/30</t>
  </si>
  <si>
    <t>3.4.2</t>
  </si>
  <si>
    <t>SUPER - MURS PERIPHERIQUES EN AGGLOS ISOLANTS</t>
  </si>
  <si>
    <t xml:space="preserve">3.4.2.1 </t>
  </si>
  <si>
    <t>Relevé BA en pied de façade agglos isolants - Dim. 20x15 à 40 cm ht - Terrasse et balcon</t>
  </si>
  <si>
    <t xml:space="preserve">3.4.2.2 </t>
  </si>
  <si>
    <t>Murs en agglos isolants épaisseur 20 cm</t>
  </si>
  <si>
    <t xml:space="preserve">3.4.2.3 </t>
  </si>
  <si>
    <t>Arase béton armé support de charpente - profil droit</t>
  </si>
  <si>
    <t xml:space="preserve">3.4.2.4 </t>
  </si>
  <si>
    <t>Arase béton armé support de charpente - profil rampant</t>
  </si>
  <si>
    <t xml:space="preserve">3.4.2.5 </t>
  </si>
  <si>
    <t>Ménagement de prises et garnissages après coup pour charpente</t>
  </si>
  <si>
    <t xml:space="preserve">3.4.2.6 </t>
  </si>
  <si>
    <t>Planelle isolée d'about de dalleR=0.70 m².K/W</t>
  </si>
  <si>
    <t>3.4.3</t>
  </si>
  <si>
    <t>SUPER - VOILES DE REFEND EN BETON ARME</t>
  </si>
  <si>
    <t xml:space="preserve">3.4.3.1 </t>
  </si>
  <si>
    <t xml:space="preserve">3.4.3.2 </t>
  </si>
  <si>
    <t>Arasement de mur sous toiture - profil droit ou rampant</t>
  </si>
  <si>
    <t xml:space="preserve">3.4.3.3 </t>
  </si>
  <si>
    <t>Incorporation d'huisseries à bancher 1 vantail</t>
  </si>
  <si>
    <t xml:space="preserve">3.4.3.4 </t>
  </si>
  <si>
    <t xml:space="preserve">3.4.3.5 </t>
  </si>
  <si>
    <t xml:space="preserve">3.4.3.6 </t>
  </si>
  <si>
    <t>Béton pour voiles de refend en superstructure : XC1 C25/30</t>
  </si>
  <si>
    <t>3.4.4</t>
  </si>
  <si>
    <t>SUPER - POTEAU EN BETON ARME</t>
  </si>
  <si>
    <t xml:space="preserve">3.4.4.1 </t>
  </si>
  <si>
    <t xml:space="preserve">3.4.4.2 </t>
  </si>
  <si>
    <t>Coffrage à parement soigné</t>
  </si>
  <si>
    <t xml:space="preserve">3.4.4.3 </t>
  </si>
  <si>
    <t xml:space="preserve">3.4.4.4 </t>
  </si>
  <si>
    <t>Béton pour poteau en superstructure : XC1 C25/30</t>
  </si>
  <si>
    <t>3.4.5</t>
  </si>
  <si>
    <t>SUPER - POUTRES EN BETON ARME</t>
  </si>
  <si>
    <t xml:space="preserve">3.4.5.1 </t>
  </si>
  <si>
    <t xml:space="preserve">3.4.5.2 </t>
  </si>
  <si>
    <t xml:space="preserve">3.4.5.3 </t>
  </si>
  <si>
    <t>Aciers Haute Adhérence pour poutres voiles</t>
  </si>
  <si>
    <t xml:space="preserve">3.4.5.4 </t>
  </si>
  <si>
    <t>Aciers Haute Adhérence pour poutres linteaux</t>
  </si>
  <si>
    <t xml:space="preserve">3.4.5.5 </t>
  </si>
  <si>
    <t>Aciers Treillis Soudé pour poutres voiles</t>
  </si>
  <si>
    <t xml:space="preserve">3.4.5.6 </t>
  </si>
  <si>
    <t>Béton pour poutres en superstructure : XC1 C25/30</t>
  </si>
  <si>
    <t>3.4.6</t>
  </si>
  <si>
    <t>SUPER - PLANCHER BETON ARME COULE EN PLACE</t>
  </si>
  <si>
    <t xml:space="preserve">3.4.6.1 </t>
  </si>
  <si>
    <t xml:space="preserve">3.4.6.2 </t>
  </si>
  <si>
    <t xml:space="preserve">3.4.6.3 </t>
  </si>
  <si>
    <t xml:space="preserve">3.4.6.4 </t>
  </si>
  <si>
    <t xml:space="preserve">3.4.6.5 </t>
  </si>
  <si>
    <t>Béton pour plancher en superstructure : XC1 C25/30</t>
  </si>
  <si>
    <t>3.4.7</t>
  </si>
  <si>
    <t>SUPER - FINITION DE PLANCHERS</t>
  </si>
  <si>
    <t xml:space="preserve">3.4.7.1 </t>
  </si>
  <si>
    <t>Façon de pente 1.5 %</t>
  </si>
  <si>
    <t xml:space="preserve">3.4.7.2 </t>
  </si>
  <si>
    <t>Façon de cunette en rive de dalle largeur 10 cm</t>
  </si>
  <si>
    <t xml:space="preserve">3.4.7.3 </t>
  </si>
  <si>
    <t>Décaissé dans dalle pour adaptation future douche PMR</t>
  </si>
  <si>
    <t>3.4.8</t>
  </si>
  <si>
    <t>SUPER - CHAPES ET RECHARGES</t>
  </si>
  <si>
    <t xml:space="preserve">3.4.8.1 </t>
  </si>
  <si>
    <t>Recharge en béton sur domisol épaisseur totale 16cm</t>
  </si>
  <si>
    <t>3.4.9</t>
  </si>
  <si>
    <t>OUVRAGES DIVERS DE SUPERSTRUCTURE</t>
  </si>
  <si>
    <t>3.4.9.1</t>
  </si>
  <si>
    <t>ESCALIER BETON</t>
  </si>
  <si>
    <t xml:space="preserve">3.4.9.1.1 </t>
  </si>
  <si>
    <t>Escalier tout compris ht à franchir 1.00 m sur terre plein - RDC</t>
  </si>
  <si>
    <t xml:space="preserve">3.4.9.1.2 </t>
  </si>
  <si>
    <t>Escalier tout compris ht à franchir 1.80 m sur terre plein - RDC</t>
  </si>
  <si>
    <t xml:space="preserve">3.4.9.1.3 </t>
  </si>
  <si>
    <t>Escalier tout compris ht à franchir 1.80 m - RDC</t>
  </si>
  <si>
    <t xml:space="preserve">3.4.9.1.4 </t>
  </si>
  <si>
    <t>Escalier tout compris ht à franchir 0.94 m - R+1</t>
  </si>
  <si>
    <t xml:space="preserve">3.4.9.1.5 </t>
  </si>
  <si>
    <t>Escalier tout compris ht à franchir 1.80 m - R+1</t>
  </si>
  <si>
    <t>3.4.9.2</t>
  </si>
  <si>
    <t xml:space="preserve">3.4.9.2.1 </t>
  </si>
  <si>
    <t>Cloisons en aggloméré de béton plein - épaisseur 10cm</t>
  </si>
  <si>
    <t>3.4.9.3</t>
  </si>
  <si>
    <t>SEUILS ET APPUIS DE BAIE</t>
  </si>
  <si>
    <t xml:space="preserve">3.4.9.3.1 </t>
  </si>
  <si>
    <t>Seuil non saillant pour mur ép. 0.18 à 0.20 ml</t>
  </si>
  <si>
    <t xml:space="preserve">3.4.9.3.2 </t>
  </si>
  <si>
    <t>Appui de baie non saillant pour mur ép. 0.18 à 0.20 ml</t>
  </si>
  <si>
    <t>3.4.9.4</t>
  </si>
  <si>
    <t>JOINTS DE DILATATION</t>
  </si>
  <si>
    <t xml:space="preserve">3.4.9.4.1 </t>
  </si>
  <si>
    <t>Joint de dilatation alvéolaire</t>
  </si>
  <si>
    <t xml:space="preserve">3.4.9.4.2 </t>
  </si>
  <si>
    <t>Joint coupe feu 1H00</t>
  </si>
  <si>
    <t>3.4.9.5</t>
  </si>
  <si>
    <t>RESERVATIONS</t>
  </si>
  <si>
    <t xml:space="preserve">3.4.9.5.1 </t>
  </si>
  <si>
    <t>Réservation et garnissage divers</t>
  </si>
  <si>
    <t xml:space="preserve">3.4.9.5.2 </t>
  </si>
  <si>
    <t>Réservation et pose de coffrets dans murs de façades</t>
  </si>
  <si>
    <t>3.4.9.6</t>
  </si>
  <si>
    <t>GARNISSAGES TREMIES</t>
  </si>
  <si>
    <t xml:space="preserve">3.4.9.6.1 </t>
  </si>
  <si>
    <t>Garnissage GT palière</t>
  </si>
  <si>
    <t xml:space="preserve">3.4.9.6.2 </t>
  </si>
  <si>
    <t>Garnissage GT sanitaires</t>
  </si>
  <si>
    <t>3.4.9.7</t>
  </si>
  <si>
    <t>SOCLES BETON</t>
  </si>
  <si>
    <t xml:space="preserve">3.4.9.7.1 </t>
  </si>
  <si>
    <t>Dimensions 1.20 x 1.20 x 0.10 m ht</t>
  </si>
  <si>
    <t>3.4.9.8</t>
  </si>
  <si>
    <t>RELEVE EN BETON ARME</t>
  </si>
  <si>
    <t xml:space="preserve">3.4.9.8.1 </t>
  </si>
  <si>
    <t>Relevé BA épaisseur 16 x hauteur 15 à 30 cm</t>
  </si>
  <si>
    <t>3.4.9.9</t>
  </si>
  <si>
    <t>GARDE CORPS EN BETON ARME</t>
  </si>
  <si>
    <t xml:space="preserve">3.4.9.9.1 </t>
  </si>
  <si>
    <t>Épaisseur 16 cm x hauteur 130 cm</t>
  </si>
  <si>
    <t>3.4.9.10</t>
  </si>
  <si>
    <t>ACROTERES EN BETON ARME</t>
  </si>
  <si>
    <t xml:space="preserve">3.4.9.10.1 </t>
  </si>
  <si>
    <t>Acrotère épaisseur 18 x hauteur 138 cm</t>
  </si>
  <si>
    <t xml:space="preserve">3.4.9.10.2 </t>
  </si>
  <si>
    <t>Acrotère épaisseur 18 x hauteur 38 à 138 cm variable</t>
  </si>
  <si>
    <t>3.4.9.11</t>
  </si>
  <si>
    <t>SOUCHES SUR TOITURE TERRASSE</t>
  </si>
  <si>
    <t xml:space="preserve">3.4.9.11.1 </t>
  </si>
  <si>
    <t>Dimensions 1.00 x 1.00 x 0.80 m ht</t>
  </si>
  <si>
    <t>3.4.9.12</t>
  </si>
  <si>
    <t>TRAVAUX DIVERS</t>
  </si>
  <si>
    <t>3.4.9.12.1</t>
  </si>
  <si>
    <t>EVACUATIONS EAUX PLUVIALES</t>
  </si>
  <si>
    <t xml:space="preserve">3.4.9.12.1.1 </t>
  </si>
  <si>
    <t>Trop plein et jet de volée - Diamètre 60 mm</t>
  </si>
  <si>
    <t xml:space="preserve">3.4.9.12.1.2 </t>
  </si>
  <si>
    <t>Avaloirs de balcons pour EP 100 mm</t>
  </si>
  <si>
    <t>Total TRAVAUX DE SUPERSTRUCTURE DU COLLECTIF</t>
  </si>
  <si>
    <t>3.5</t>
  </si>
  <si>
    <t>ISOLATION THERMIQUE DES TOITURES DU COLLECTIF</t>
  </si>
  <si>
    <t xml:space="preserve">3.5.1 </t>
  </si>
  <si>
    <t>Isolation thermique soufflée en laine</t>
  </si>
  <si>
    <t>Total ISOLATION THERMIQUE DES TOITURES DU COLLECTIF</t>
  </si>
  <si>
    <t>3.6</t>
  </si>
  <si>
    <t>FLOCAGE DU COLLECTIF</t>
  </si>
  <si>
    <t>3.6.1</t>
  </si>
  <si>
    <t>PROJECTION THERMIQUE ET COUPE-FEU SOUS DALLE BETON PAR LAINE MINERALE PROJETEE - REI60</t>
  </si>
  <si>
    <t xml:space="preserve">3.6.1.1 </t>
  </si>
  <si>
    <t>En sous face de dalle épaisseur 120mm - R= 3.15 (m².K)/W</t>
  </si>
  <si>
    <t>3.6.2</t>
  </si>
  <si>
    <t>GAINE CF2H EN TOLE D'ACIER GALVANISE + FLOCAGE LAINE MINERALE</t>
  </si>
  <si>
    <t xml:space="preserve">3.6.2.1 </t>
  </si>
  <si>
    <t>Gaine floquée horizontale - Section intérieure : 105 x 60 mm</t>
  </si>
  <si>
    <t xml:space="preserve">3.6.2.2 </t>
  </si>
  <si>
    <t>Gaine floquée verticale pour traversée de combles - Section intérieure 15 x 15 mm</t>
  </si>
  <si>
    <t>Total FLOCAGE DU COLLECTIF</t>
  </si>
  <si>
    <t>3.7</t>
  </si>
  <si>
    <t>OUVRAGES D'AMENAGEMENTS EXTERIEURS DU COLLECTIF</t>
  </si>
  <si>
    <t>3.7.1</t>
  </si>
  <si>
    <t>MUR DE CLOTURE EN BA</t>
  </si>
  <si>
    <t xml:space="preserve">3.7.1.1 </t>
  </si>
  <si>
    <t>Muret béton - hauteur vue 1.20 m x ép. 0.20 ml</t>
  </si>
  <si>
    <t xml:space="preserve">3.7.1.2 </t>
  </si>
  <si>
    <t>Muret béton - hauteur vue : 0.50 m x ép. 0.20 ml - Rampant</t>
  </si>
  <si>
    <t>3.7.2</t>
  </si>
  <si>
    <t>MUR DE CLOTURE EN AGGLOS</t>
  </si>
  <si>
    <t xml:space="preserve">3.7.2.1 </t>
  </si>
  <si>
    <t>Muret agglo - hauteur vue 1.80 m x ép. 0.20 cm compris mortier ciment 2 faces</t>
  </si>
  <si>
    <t>3.7.3</t>
  </si>
  <si>
    <t>MUR DE SOUTENEMENT EN BA</t>
  </si>
  <si>
    <t xml:space="preserve">3.7.3.1 </t>
  </si>
  <si>
    <t>Mur de soutènement béton - hauteur vue 0.70 m x ép. 0.20 cm</t>
  </si>
  <si>
    <t xml:space="preserve">3.7.3.2 </t>
  </si>
  <si>
    <t>Mur de soutènement béton - hauteur vue 1.00 m x ép. 0.20 cm</t>
  </si>
  <si>
    <t xml:space="preserve">3.7.3.3 </t>
  </si>
  <si>
    <t>Mur de soutènement béton escaliers - hauteur 3.63 m x ép. 0.20 ml - formant relevé</t>
  </si>
  <si>
    <t xml:space="preserve">3.7.3.4 </t>
  </si>
  <si>
    <t>Mur de soutènement béton - hauteur vue variable pour rampe 1.52 à 3.63 m x ép. 0.20 cm</t>
  </si>
  <si>
    <t>3.7.4</t>
  </si>
  <si>
    <t>ESCALIER BETON SUR TERRE PLEIN</t>
  </si>
  <si>
    <t xml:space="preserve">3.7.4.1 </t>
  </si>
  <si>
    <t>Escalier tout compris ht à franchir 2.94 m sur terre plein - finition béton lisse</t>
  </si>
  <si>
    <t>3.7.5</t>
  </si>
  <si>
    <t xml:space="preserve">3.7.5.1 </t>
  </si>
  <si>
    <t>Dallage BA ep 15 cm</t>
  </si>
  <si>
    <t>Total OUVRAGES D'AMENAGEMENTS EXTERIEURS DU COLLECTIF</t>
  </si>
  <si>
    <t>4.1</t>
  </si>
  <si>
    <t>FONDATIONS DES VILLAS</t>
  </si>
  <si>
    <t>4.1.1</t>
  </si>
  <si>
    <t xml:space="preserve">4.1.1.1 </t>
  </si>
  <si>
    <t xml:space="preserve">4.1.1.2 </t>
  </si>
  <si>
    <t xml:space="preserve">4.1.1.3 </t>
  </si>
  <si>
    <t>4.1.2</t>
  </si>
  <si>
    <t xml:space="preserve">4.1.2.1 </t>
  </si>
  <si>
    <t xml:space="preserve">4.1.2.2 </t>
  </si>
  <si>
    <t>4.1.3</t>
  </si>
  <si>
    <t xml:space="preserve">4.1.3.1 </t>
  </si>
  <si>
    <t xml:space="preserve">4.1.3.2 </t>
  </si>
  <si>
    <t xml:space="preserve">4.1.3.3 </t>
  </si>
  <si>
    <t>4.1.4</t>
  </si>
  <si>
    <t xml:space="preserve">4.1.4.1 </t>
  </si>
  <si>
    <t xml:space="preserve">4.1.4.2 </t>
  </si>
  <si>
    <t xml:space="preserve">4.1.4.3 </t>
  </si>
  <si>
    <t>4.1.5</t>
  </si>
  <si>
    <t xml:space="preserve">4.1.5.1 </t>
  </si>
  <si>
    <t>Coffrage pour longrine enterrées / soubassement</t>
  </si>
  <si>
    <t xml:space="preserve">4.1.5.2 </t>
  </si>
  <si>
    <t xml:space="preserve">4.1.5.3 </t>
  </si>
  <si>
    <t>Total FONDATIONS DES VILLAS</t>
  </si>
  <si>
    <t>4.2</t>
  </si>
  <si>
    <t>PLANCHERS BAS, DALLAGES ET OUVRAGES LIES DES VILLAS</t>
  </si>
  <si>
    <t>4.2.1</t>
  </si>
  <si>
    <t xml:space="preserve">4.2.1.1 </t>
  </si>
  <si>
    <t xml:space="preserve">4.2.1.2 </t>
  </si>
  <si>
    <t xml:space="preserve">4.2.1.3 </t>
  </si>
  <si>
    <t xml:space="preserve">4.2.1.4 </t>
  </si>
  <si>
    <t>4.2.2</t>
  </si>
  <si>
    <t>PLANCHER BAS SUR VIDE SANITAIRE POUTRELLES / HOURDIS</t>
  </si>
  <si>
    <t xml:space="preserve">4.2.2.1 </t>
  </si>
  <si>
    <t>Plancher poutrelles et hourdis épaisseur : 16+4cm</t>
  </si>
  <si>
    <t>4.2.3</t>
  </si>
  <si>
    <t>RESEAUX SOUS DALLAGE/PLANCHER POUTRELLES HOURDIS</t>
  </si>
  <si>
    <t>4.2.3.1</t>
  </si>
  <si>
    <t xml:space="preserve">4.2.3.1.1 </t>
  </si>
  <si>
    <t>EP : Canalisation PVC Ø100mm en vide sanitaire</t>
  </si>
  <si>
    <t xml:space="preserve">4.2.3.1.2 </t>
  </si>
  <si>
    <t>EP : Fouilles en tranchée + canalisation Ø100mm</t>
  </si>
  <si>
    <t>4.2.3.2</t>
  </si>
  <si>
    <t xml:space="preserve">4.2.3.2.1 </t>
  </si>
  <si>
    <t>EU-EV : Canalisation PVC Ø100mm en vide sanitaire</t>
  </si>
  <si>
    <t xml:space="preserve">4.2.3.2.2 </t>
  </si>
  <si>
    <t>4.2.3.3</t>
  </si>
  <si>
    <t xml:space="preserve">4.2.3.3.1 </t>
  </si>
  <si>
    <t>Fourreaux pénétration pour câble électrique</t>
  </si>
  <si>
    <t xml:space="preserve">4.2.3.3.2 </t>
  </si>
  <si>
    <t>Fourreaux pénétration câble TELECOM (réserve)</t>
  </si>
  <si>
    <t xml:space="preserve">4.2.3.3.3 </t>
  </si>
  <si>
    <t>Fourreaux pénétration bâtiment câble Fibre</t>
  </si>
  <si>
    <t xml:space="preserve">4.2.3.3.4 </t>
  </si>
  <si>
    <t>Fourreaux pénétration bâtiment câble cuivre</t>
  </si>
  <si>
    <t>4.2.3.4</t>
  </si>
  <si>
    <t xml:space="preserve">4.2.3.4.1 </t>
  </si>
  <si>
    <t>Eau potable : PEHD DN32 + fourreau TPC Ø 150 mm en vide sanitaire</t>
  </si>
  <si>
    <t xml:space="preserve">4.2.3.4.2 </t>
  </si>
  <si>
    <t>Eau potable : PEHD DN40 + fourreau TPC Ø 150 mm en vide sanitaire</t>
  </si>
  <si>
    <t xml:space="preserve">4.2.3.4.3 </t>
  </si>
  <si>
    <t>4.2.3.5</t>
  </si>
  <si>
    <t xml:space="preserve">4.2.3.5.1 </t>
  </si>
  <si>
    <t>Ventilation du vide technique par tube PVC coudé</t>
  </si>
  <si>
    <t>Total PLANCHERS BAS, DALLAGES ET OUVRAGES LIES DES VILLAS</t>
  </si>
  <si>
    <t>4.3</t>
  </si>
  <si>
    <t>TRAVAUX D'INFRASTRUCTURE DES VILLAS</t>
  </si>
  <si>
    <t>4.3.1</t>
  </si>
  <si>
    <t>INFRA - VOILES D'INFRASTRUCTURE EN BETON ARME</t>
  </si>
  <si>
    <t xml:space="preserve">4.3.1.1 </t>
  </si>
  <si>
    <t>Coffrage à parement ordinaire</t>
  </si>
  <si>
    <t xml:space="preserve">4.3.1.2 </t>
  </si>
  <si>
    <t xml:space="preserve">4.3.1.3 </t>
  </si>
  <si>
    <t xml:space="preserve">4.3.1.4 </t>
  </si>
  <si>
    <t>4.3.2</t>
  </si>
  <si>
    <t xml:space="preserve">4.3.2.1 </t>
  </si>
  <si>
    <t xml:space="preserve">4.3.2.2 </t>
  </si>
  <si>
    <t xml:space="preserve">4.3.2.3 </t>
  </si>
  <si>
    <t xml:space="preserve">4.3.2.4 </t>
  </si>
  <si>
    <t>4.3.3</t>
  </si>
  <si>
    <t xml:space="preserve">4.3.3.1 </t>
  </si>
  <si>
    <t xml:space="preserve">4.3.3.2 </t>
  </si>
  <si>
    <t xml:space="preserve">4.3.3.3 </t>
  </si>
  <si>
    <t>4.3.4</t>
  </si>
  <si>
    <t xml:space="preserve">4.3.4.1 </t>
  </si>
  <si>
    <t xml:space="preserve">4.3.4.2 </t>
  </si>
  <si>
    <t xml:space="preserve">4.3.4.3 </t>
  </si>
  <si>
    <t>4.3.5</t>
  </si>
  <si>
    <t>INFRA - PLANCHER POUTRELLES / HOURDIS</t>
  </si>
  <si>
    <t xml:space="preserve">4.3.5.1 </t>
  </si>
  <si>
    <t>Plancher poutrelles et hourdis épaisseur : 16+4cm avec rupteurs intégrés</t>
  </si>
  <si>
    <t>4.3.6</t>
  </si>
  <si>
    <t>4.3.6.1</t>
  </si>
  <si>
    <t xml:space="preserve">4.3.6.1.1 </t>
  </si>
  <si>
    <t>4.3.6.2</t>
  </si>
  <si>
    <t xml:space="preserve">4.3.6.2.1 </t>
  </si>
  <si>
    <t xml:space="preserve">4.3.6.2.2 </t>
  </si>
  <si>
    <t>Total TRAVAUX D'INFRASTRUCTURE DES VILLAS</t>
  </si>
  <si>
    <t>4.4</t>
  </si>
  <si>
    <t>TRAVAUX DE SUPERSTRUCTURE DES VILLAS</t>
  </si>
  <si>
    <t>4.4.1</t>
  </si>
  <si>
    <t>SUPER - MURS PERIPHERIQUES EN AGGLO</t>
  </si>
  <si>
    <t xml:space="preserve">4.4.1.1 </t>
  </si>
  <si>
    <t>Relevé BA en pied de façade agglos - Dim. 20x15 à 40 cm ht - Terrasse et balcon</t>
  </si>
  <si>
    <t xml:space="preserve">4.4.1.2 </t>
  </si>
  <si>
    <t>Murs en agglo creux épaisseur 20 cm</t>
  </si>
  <si>
    <t xml:space="preserve">4.4.1.3 </t>
  </si>
  <si>
    <t>Planelle d'about de dalle non isolée</t>
  </si>
  <si>
    <t xml:space="preserve">4.4.1.4 </t>
  </si>
  <si>
    <t xml:space="preserve">4.4.1.5 </t>
  </si>
  <si>
    <t xml:space="preserve">4.4.1.6 </t>
  </si>
  <si>
    <t>4.4.2</t>
  </si>
  <si>
    <t xml:space="preserve">4.4.2.1 </t>
  </si>
  <si>
    <t xml:space="preserve">4.4.2.2 </t>
  </si>
  <si>
    <t xml:space="preserve">4.4.2.3 </t>
  </si>
  <si>
    <t xml:space="preserve">4.4.2.4 </t>
  </si>
  <si>
    <t xml:space="preserve">4.4.2.5 </t>
  </si>
  <si>
    <t xml:space="preserve">4.4.2.6 </t>
  </si>
  <si>
    <t>4.4.3</t>
  </si>
  <si>
    <t>SUPER - MURS DE REFEND EN AGGLO</t>
  </si>
  <si>
    <t xml:space="preserve">4.4.3.1 </t>
  </si>
  <si>
    <t>4.4.4</t>
  </si>
  <si>
    <t xml:space="preserve">4.4.4.1 </t>
  </si>
  <si>
    <t xml:space="preserve">4.4.4.2 </t>
  </si>
  <si>
    <t>Coffrage à parement soigné Ø20cm</t>
  </si>
  <si>
    <t xml:space="preserve">4.4.4.3 </t>
  </si>
  <si>
    <t xml:space="preserve">4.4.4.4 </t>
  </si>
  <si>
    <t>4.4.5</t>
  </si>
  <si>
    <t xml:space="preserve">4.4.5.1 </t>
  </si>
  <si>
    <t xml:space="preserve">4.4.5.2 </t>
  </si>
  <si>
    <t xml:space="preserve">4.4.5.3 </t>
  </si>
  <si>
    <t>4.4.6</t>
  </si>
  <si>
    <t xml:space="preserve">4.4.6.1 </t>
  </si>
  <si>
    <t xml:space="preserve">4.4.6.2 </t>
  </si>
  <si>
    <t xml:space="preserve">4.4.6.3 </t>
  </si>
  <si>
    <t xml:space="preserve">4.4.6.4 </t>
  </si>
  <si>
    <t>4.4.7</t>
  </si>
  <si>
    <t>SUPER - PLANCHER POUTRELLES / HOURDIS</t>
  </si>
  <si>
    <t xml:space="preserve">4.4.7.1 </t>
  </si>
  <si>
    <t>4.4.8</t>
  </si>
  <si>
    <t xml:space="preserve">4.4.8.1 </t>
  </si>
  <si>
    <t>4.4.9</t>
  </si>
  <si>
    <t>4.4.9.1</t>
  </si>
  <si>
    <t xml:space="preserve">4.4.9.1.1 </t>
  </si>
  <si>
    <t>Agglos pleins : Epaisseur 10 cm</t>
  </si>
  <si>
    <t>4.4.9.2</t>
  </si>
  <si>
    <t xml:space="preserve">4.4.9.2.1 </t>
  </si>
  <si>
    <t xml:space="preserve">4.4.9.2.2 </t>
  </si>
  <si>
    <t>4.4.9.3</t>
  </si>
  <si>
    <t xml:space="preserve">4.4.9.3.1 </t>
  </si>
  <si>
    <t xml:space="preserve">4.4.9.3.2 </t>
  </si>
  <si>
    <t>4.4.9.4</t>
  </si>
  <si>
    <t xml:space="preserve">4.4.9.4.1 </t>
  </si>
  <si>
    <t>4.4.9.5</t>
  </si>
  <si>
    <t xml:space="preserve">4.4.9.5.1 </t>
  </si>
  <si>
    <t>Plots béton Longeur 2m40 de 10cm minimum de haut pour les PAC</t>
  </si>
  <si>
    <t xml:space="preserve">4.4.9.5.2 </t>
  </si>
  <si>
    <t>Socle béton ou support isophonique pour module intérieur PAC 0.60 x 0.60 x 0.10 m ht</t>
  </si>
  <si>
    <t>4.4.9.6</t>
  </si>
  <si>
    <t xml:space="preserve">4.4.9.6.1 </t>
  </si>
  <si>
    <t>4.4.9.7</t>
  </si>
  <si>
    <t xml:space="preserve">4.4.9.7.1 </t>
  </si>
  <si>
    <t>Acrotère épaisseur 20 x hauteur 23 cm</t>
  </si>
  <si>
    <t xml:space="preserve">4.4.9.7.2 </t>
  </si>
  <si>
    <t>Total TRAVAUX DE SUPERSTRUCTURE DES VILLAS</t>
  </si>
  <si>
    <t>4.5</t>
  </si>
  <si>
    <t>ISOLATION THERMIQUE DES TOITURES DES VILLAS</t>
  </si>
  <si>
    <t xml:space="preserve">4.5.1 </t>
  </si>
  <si>
    <t>Total ISOLATION THERMIQUE DES TOITURES DES VILLAS</t>
  </si>
  <si>
    <t>4.6</t>
  </si>
  <si>
    <t>OUVRAGES D'AMENAGEMENTS EXTERIEURS DES VILLAS</t>
  </si>
  <si>
    <t>4.6.1</t>
  </si>
  <si>
    <t xml:space="preserve">4.6.1.1 </t>
  </si>
  <si>
    <t>Muret béton - hauteur vue 2.67 m x ép. 0.18 ml</t>
  </si>
  <si>
    <t>4.6.2</t>
  </si>
  <si>
    <t xml:space="preserve">4.6.2.1 </t>
  </si>
  <si>
    <t>Mur de soutènement béton escaliers - hauteur 0.83 m x ép. 0.20 ml - formant relevé</t>
  </si>
  <si>
    <t xml:space="preserve">4.6.2.2 </t>
  </si>
  <si>
    <t>Mur de soutènement béton escaliers - hauteur variable 0.83 à 3.32 m x ép. 0.20 ml - formant relevé rampant</t>
  </si>
  <si>
    <t xml:space="preserve">4.6.2.3 </t>
  </si>
  <si>
    <t>Mur de soutènement béton escaliers - hauteur 3.32 m x ép. 0.20 ml - formant relevé</t>
  </si>
  <si>
    <t xml:space="preserve">4.6.2.4 </t>
  </si>
  <si>
    <t>Mur de soutènement béton escaliers - hauteur 2.98 m x ép. 0.20 ml - formant relevé</t>
  </si>
  <si>
    <t xml:space="preserve">4.6.2.5 </t>
  </si>
  <si>
    <t>Mur de soutènement béton - hauteur 1.68 m x ép. 0.20 ml - formant relevé</t>
  </si>
  <si>
    <t xml:space="preserve">4.6.2.6 </t>
  </si>
  <si>
    <t>Mur de soutènement béton escaliers - hauteur variable 2.68 à 3.12 m x ép. 0.20 ml - formant relevé rampant</t>
  </si>
  <si>
    <t xml:space="preserve">4.6.2.7 </t>
  </si>
  <si>
    <t>Mur de soutènement béton - hauteur 3.12 m x ép. 0.20 ml - formant relevé</t>
  </si>
  <si>
    <t>4.6.3</t>
  </si>
  <si>
    <t xml:space="preserve">4.6.3.1 </t>
  </si>
  <si>
    <t>Escalier tout compris ht à franchir 2.48 m</t>
  </si>
  <si>
    <t>4.6.4</t>
  </si>
  <si>
    <t>LOGETTES</t>
  </si>
  <si>
    <t xml:space="preserve">4.6.4.1 </t>
  </si>
  <si>
    <t>Logette, dimensions 0.50 x 0.45 x 1.25m ht</t>
  </si>
  <si>
    <t>Total OUVRAGES D'AMENAGEMENTS EXTERIEURS DES VILLAS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</si>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</sst>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\ #,##0.00&quot;    &quot;;\-#,##0.00&quot;    &quot;;&quot; -&quot;#&quot;    &quot;;@\ "/>
    <numFmt numFmtId="165" formatCode="_-* #,##0.00\ [$€-40C]_-;\-* #,##0.00\ [$€-40C]_-;_-* &quot;-&quot;??\ [$€-40C]_-;_-@_-"/>
    <numFmt numFmtId="166" formatCode="#,##0.00_-_ ;#,##0.00\-_ ;&quot;&quot;"/>
  </numFmts>
  <fonts count="23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sz val="8"/>
      <color rgb="FF000000"/>
      <name val="Arial"/>
      <family val="2"/>
    </font>
    <font>
      <sz val="10"/>
      <color rgb="FF000000"/>
      <name val="Arial Narrow"/>
      <family val="1"/>
    </font>
    <font>
      <b/>
      <sz val="12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FF0000"/>
      <name val="Arial"/>
      <family val="1"/>
    </font>
    <font>
      <sz val="10"/>
      <color rgb="FF000000"/>
      <name val="Arial"/>
      <family val="1"/>
    </font>
    <font>
      <b/>
      <u/>
      <sz val="10"/>
      <color rgb="FF000000"/>
      <name val="Arial"/>
      <family val="1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3"/>
      <color indexed="8"/>
      <name val="Calibri"/>
      <family val="2"/>
    </font>
    <font>
      <b/>
      <sz val="13"/>
      <color indexed="8"/>
      <name val="Calibri"/>
      <family val="2"/>
    </font>
    <font>
      <b/>
      <i/>
      <sz val="10"/>
      <color rgb="FFAD84C6"/>
      <name val="Arial"/>
      <family val="1"/>
    </font>
    <font>
      <b/>
      <u/>
      <sz val="10"/>
      <name val="Arial"/>
      <family val="1"/>
    </font>
    <font>
      <b/>
      <sz val="10"/>
      <name val="Arial"/>
      <family val="1"/>
    </font>
    <font>
      <sz val="11"/>
      <name val="Calibri"/>
      <family val="2"/>
    </font>
    <font>
      <b/>
      <i/>
      <sz val="10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8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164" fontId="4" fillId="0" borderId="0"/>
    <xf numFmtId="9" fontId="4" fillId="0" borderId="0"/>
    <xf numFmtId="0" fontId="5" fillId="2" borderId="0">
      <alignment horizontal="left" vertical="top"/>
    </xf>
    <xf numFmtId="0" fontId="6" fillId="0" borderId="0" applyFill="0">
      <alignment horizontal="left" vertical="top" wrapText="1"/>
    </xf>
    <xf numFmtId="0" fontId="7" fillId="3" borderId="0">
      <alignment horizontal="left" vertical="top" wrapText="1"/>
    </xf>
    <xf numFmtId="0" fontId="7" fillId="0" borderId="0" applyFill="0">
      <alignment horizontal="left" vertical="top" wrapText="1"/>
    </xf>
    <xf numFmtId="0" fontId="8" fillId="0" borderId="0" applyFill="0">
      <alignment horizontal="left" vertical="top" wrapText="1"/>
    </xf>
    <xf numFmtId="0" fontId="9" fillId="0" borderId="0" applyFill="0">
      <alignment horizontal="left" vertical="top" wrapText="1"/>
    </xf>
    <xf numFmtId="0" fontId="10" fillId="0" borderId="0" applyFill="0">
      <alignment horizontal="left" vertical="top" wrapText="1"/>
    </xf>
    <xf numFmtId="0" fontId="11" fillId="0" borderId="0" applyFill="0">
      <alignment horizontal="left" vertical="top" wrapText="1"/>
    </xf>
    <xf numFmtId="0" fontId="8" fillId="0" borderId="0" applyFill="0">
      <alignment horizontal="left" vertical="top" wrapText="1"/>
    </xf>
    <xf numFmtId="0" fontId="11" fillId="0" borderId="0" applyFill="0">
      <alignment horizontal="left" vertical="top" wrapText="1"/>
    </xf>
    <xf numFmtId="49" fontId="12" fillId="0" borderId="0" applyFill="0" applyBorder="0">
      <alignment vertical="top"/>
    </xf>
    <xf numFmtId="49" fontId="13" fillId="0" borderId="16" applyNumberFormat="0" applyFill="0" applyBorder="0">
      <alignment vertical="top" wrapText="1"/>
    </xf>
    <xf numFmtId="166" fontId="13" fillId="0" borderId="0" applyFill="0" applyBorder="0">
      <protection locked="0"/>
    </xf>
    <xf numFmtId="44" fontId="4" fillId="0" borderId="0" applyFont="0" applyFill="0" applyBorder="0" applyAlignment="0" applyProtection="0"/>
    <xf numFmtId="0" fontId="18" fillId="0" borderId="0" applyFill="0">
      <alignment horizontal="right" vertical="top" wrapText="1"/>
    </xf>
  </cellStyleXfs>
  <cellXfs count="1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5" xfId="0" applyBorder="1"/>
    <xf numFmtId="9" fontId="0" fillId="0" borderId="7" xfId="2" applyFont="1" applyBorder="1" applyAlignment="1">
      <alignment horizontal="center"/>
    </xf>
    <xf numFmtId="164" fontId="0" fillId="0" borderId="7" xfId="1" applyFont="1" applyBorder="1"/>
    <xf numFmtId="0" fontId="1" fillId="0" borderId="6" xfId="0" applyFont="1" applyBorder="1" applyAlignment="1">
      <alignment wrapText="1"/>
    </xf>
    <xf numFmtId="164" fontId="0" fillId="0" borderId="7" xfId="1" applyFont="1" applyBorder="1" applyAlignment="1">
      <alignment wrapText="1"/>
    </xf>
    <xf numFmtId="4" fontId="0" fillId="0" borderId="0" xfId="0" applyNumberFormat="1"/>
    <xf numFmtId="0" fontId="1" fillId="0" borderId="8" xfId="0" applyFont="1" applyBorder="1"/>
    <xf numFmtId="0" fontId="2" fillId="0" borderId="9" xfId="0" applyFont="1" applyBorder="1" applyAlignment="1">
      <alignment wrapText="1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164" fontId="1" fillId="0" borderId="1" xfId="1" applyFont="1" applyBorder="1" applyAlignment="1">
      <alignment horizontal="center"/>
    </xf>
    <xf numFmtId="0" fontId="1" fillId="0" borderId="4" xfId="0" applyFont="1" applyBorder="1"/>
    <xf numFmtId="0" fontId="2" fillId="0" borderId="4" xfId="0" applyFont="1" applyBorder="1" applyAlignment="1">
      <alignment wrapText="1"/>
    </xf>
    <xf numFmtId="0" fontId="0" fillId="0" borderId="4" xfId="0" applyBorder="1"/>
    <xf numFmtId="10" fontId="0" fillId="0" borderId="4" xfId="0" applyNumberFormat="1" applyBorder="1" applyAlignment="1">
      <alignment horizontal="center"/>
    </xf>
    <xf numFmtId="164" fontId="1" fillId="0" borderId="4" xfId="1" applyFont="1" applyBorder="1" applyAlignment="1">
      <alignment horizontal="center"/>
    </xf>
    <xf numFmtId="0" fontId="1" fillId="0" borderId="7" xfId="0" applyFont="1" applyBorder="1"/>
    <xf numFmtId="0" fontId="2" fillId="0" borderId="7" xfId="0" applyFont="1" applyBorder="1" applyAlignment="1">
      <alignment wrapText="1"/>
    </xf>
    <xf numFmtId="0" fontId="0" fillId="0" borderId="7" xfId="0" applyBorder="1"/>
    <xf numFmtId="10" fontId="0" fillId="0" borderId="7" xfId="0" applyNumberFormat="1" applyBorder="1" applyAlignment="1">
      <alignment horizontal="center"/>
    </xf>
    <xf numFmtId="164" fontId="1" fillId="0" borderId="7" xfId="1" applyFont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/>
    <xf numFmtId="4" fontId="3" fillId="0" borderId="3" xfId="0" applyNumberFormat="1" applyFont="1" applyBorder="1" applyAlignment="1">
      <alignment wrapText="1"/>
    </xf>
    <xf numFmtId="4" fontId="3" fillId="0" borderId="6" xfId="0" applyNumberFormat="1" applyFont="1" applyBorder="1" applyAlignment="1">
      <alignment wrapText="1"/>
    </xf>
    <xf numFmtId="0" fontId="1" fillId="0" borderId="10" xfId="0" applyFont="1" applyBorder="1"/>
    <xf numFmtId="4" fontId="3" fillId="0" borderId="11" xfId="0" applyNumberFormat="1" applyFont="1" applyBorder="1" applyAlignment="1">
      <alignment wrapText="1"/>
    </xf>
    <xf numFmtId="0" fontId="0" fillId="0" borderId="12" xfId="0" applyBorder="1"/>
    <xf numFmtId="0" fontId="1" fillId="0" borderId="12" xfId="0" applyFont="1" applyBorder="1" applyAlignment="1">
      <alignment horizontal="center"/>
    </xf>
    <xf numFmtId="164" fontId="1" fillId="0" borderId="12" xfId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0" fillId="0" borderId="0" xfId="0" applyNumberFormat="1"/>
    <xf numFmtId="165" fontId="1" fillId="0" borderId="1" xfId="1" applyNumberFormat="1" applyFont="1" applyBorder="1"/>
    <xf numFmtId="165" fontId="1" fillId="0" borderId="4" xfId="1" applyNumberFormat="1" applyFont="1" applyBorder="1"/>
    <xf numFmtId="165" fontId="1" fillId="0" borderId="7" xfId="1" applyNumberFormat="1" applyFont="1" applyBorder="1"/>
    <xf numFmtId="165" fontId="0" fillId="0" borderId="7" xfId="1" applyNumberFormat="1" applyFont="1" applyBorder="1"/>
    <xf numFmtId="165" fontId="0" fillId="0" borderId="7" xfId="0" applyNumberFormat="1" applyBorder="1"/>
    <xf numFmtId="165" fontId="1" fillId="0" borderId="12" xfId="1" applyNumberFormat="1" applyFont="1" applyBorder="1"/>
    <xf numFmtId="0" fontId="0" fillId="0" borderId="14" xfId="0" applyBorder="1" applyAlignment="1">
      <alignment wrapText="1"/>
    </xf>
    <xf numFmtId="0" fontId="0" fillId="0" borderId="14" xfId="0" applyBorder="1"/>
    <xf numFmtId="165" fontId="0" fillId="0" borderId="14" xfId="0" applyNumberFormat="1" applyBorder="1"/>
    <xf numFmtId="0" fontId="0" fillId="0" borderId="0" xfId="0" applyAlignment="1">
      <alignment wrapText="1"/>
    </xf>
    <xf numFmtId="0" fontId="0" fillId="0" borderId="15" xfId="0" applyBorder="1"/>
    <xf numFmtId="0" fontId="14" fillId="0" borderId="15" xfId="14" quotePrefix="1" applyNumberFormat="1" applyFont="1" applyBorder="1" applyAlignment="1">
      <alignment horizontal="left" vertical="top" wrapText="1" indent="3"/>
    </xf>
    <xf numFmtId="0" fontId="14" fillId="0" borderId="18" xfId="14" quotePrefix="1" applyNumberFormat="1" applyFont="1" applyBorder="1" applyAlignment="1">
      <alignment horizontal="left" vertical="top" wrapText="1" indent="3"/>
    </xf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164" fontId="0" fillId="0" borderId="21" xfId="1" applyFont="1" applyBorder="1" applyAlignment="1">
      <alignment wrapText="1"/>
    </xf>
    <xf numFmtId="44" fontId="0" fillId="0" borderId="19" xfId="16" applyFont="1" applyBorder="1"/>
    <xf numFmtId="0" fontId="0" fillId="0" borderId="22" xfId="0" applyBorder="1" applyAlignment="1">
      <alignment horizontal="right"/>
    </xf>
    <xf numFmtId="49" fontId="15" fillId="0" borderId="22" xfId="13" applyFont="1" applyBorder="1" applyAlignment="1">
      <alignment horizontal="right" vertical="top"/>
    </xf>
    <xf numFmtId="164" fontId="0" fillId="0" borderId="7" xfId="1" applyFont="1" applyBorder="1" applyAlignment="1">
      <alignment vertical="top"/>
    </xf>
    <xf numFmtId="9" fontId="0" fillId="0" borderId="7" xfId="2" applyFont="1" applyBorder="1" applyAlignment="1">
      <alignment horizontal="center" vertical="top"/>
    </xf>
    <xf numFmtId="165" fontId="0" fillId="0" borderId="7" xfId="0" applyNumberFormat="1" applyBorder="1" applyAlignment="1">
      <alignment vertical="top"/>
    </xf>
    <xf numFmtId="164" fontId="0" fillId="0" borderId="7" xfId="1" applyFont="1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24" xfId="0" applyBorder="1"/>
    <xf numFmtId="0" fontId="0" fillId="0" borderId="7" xfId="0" applyBorder="1" applyAlignment="1">
      <alignment horizontal="right" vertical="top"/>
    </xf>
    <xf numFmtId="0" fontId="0" fillId="0" borderId="12" xfId="0" applyBorder="1" applyAlignment="1">
      <alignment horizontal="right"/>
    </xf>
    <xf numFmtId="0" fontId="16" fillId="0" borderId="17" xfId="0" applyFont="1" applyBorder="1"/>
    <xf numFmtId="0" fontId="17" fillId="0" borderId="22" xfId="0" applyFont="1" applyBorder="1" applyAlignment="1">
      <alignment horizontal="right"/>
    </xf>
    <xf numFmtId="0" fontId="1" fillId="0" borderId="18" xfId="0" applyFont="1" applyBorder="1"/>
    <xf numFmtId="0" fontId="1" fillId="0" borderId="15" xfId="0" applyFont="1" applyBorder="1"/>
    <xf numFmtId="164" fontId="1" fillId="0" borderId="7" xfId="1" applyFont="1" applyBorder="1" applyAlignment="1">
      <alignment wrapText="1"/>
    </xf>
    <xf numFmtId="165" fontId="1" fillId="0" borderId="7" xfId="0" applyNumberFormat="1" applyFont="1" applyBorder="1"/>
    <xf numFmtId="164" fontId="17" fillId="0" borderId="7" xfId="1" applyFont="1" applyBorder="1" applyAlignment="1">
      <alignment wrapText="1"/>
    </xf>
    <xf numFmtId="0" fontId="1" fillId="0" borderId="0" xfId="0" applyFont="1"/>
    <xf numFmtId="0" fontId="17" fillId="0" borderId="0" xfId="0" applyFont="1"/>
    <xf numFmtId="0" fontId="1" fillId="0" borderId="18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164" fontId="1" fillId="0" borderId="7" xfId="1" applyFont="1" applyBorder="1" applyAlignment="1">
      <alignment vertical="top" wrapText="1"/>
    </xf>
    <xf numFmtId="165" fontId="1" fillId="0" borderId="7" xfId="0" applyNumberFormat="1" applyFont="1" applyBorder="1" applyAlignment="1">
      <alignment vertical="top"/>
    </xf>
    <xf numFmtId="0" fontId="19" fillId="0" borderId="25" xfId="10" applyFont="1" applyBorder="1">
      <alignment horizontal="left" vertical="top" wrapText="1"/>
    </xf>
    <xf numFmtId="0" fontId="19" fillId="0" borderId="26" xfId="10" applyFont="1" applyBorder="1">
      <alignment horizontal="left" vertical="top" wrapText="1"/>
    </xf>
    <xf numFmtId="0" fontId="20" fillId="0" borderId="27" xfId="7" applyFont="1" applyBorder="1">
      <alignment horizontal="left" vertical="top" wrapText="1"/>
    </xf>
    <xf numFmtId="0" fontId="20" fillId="0" borderId="28" xfId="7" applyFont="1" applyBorder="1">
      <alignment horizontal="left" vertical="top" wrapText="1"/>
    </xf>
    <xf numFmtId="0" fontId="20" fillId="0" borderId="29" xfId="7" applyFont="1" applyBorder="1">
      <alignment horizontal="left" vertical="top" wrapText="1"/>
    </xf>
    <xf numFmtId="0" fontId="20" fillId="0" borderId="23" xfId="7" applyFont="1" applyBorder="1">
      <alignment horizontal="left" vertical="top" wrapText="1"/>
    </xf>
    <xf numFmtId="0" fontId="21" fillId="0" borderId="30" xfId="0" applyFont="1" applyBorder="1" applyAlignment="1">
      <alignment horizontal="left" vertical="top" wrapText="1"/>
    </xf>
    <xf numFmtId="0" fontId="21" fillId="0" borderId="31" xfId="0" applyFont="1" applyBorder="1" applyAlignment="1">
      <alignment horizontal="left" vertical="top" wrapText="1"/>
    </xf>
    <xf numFmtId="0" fontId="22" fillId="4" borderId="25" xfId="17" applyFont="1" applyFill="1" applyBorder="1" applyAlignment="1">
      <alignment horizontal="left" vertical="top" wrapText="1"/>
    </xf>
    <xf numFmtId="0" fontId="22" fillId="4" borderId="26" xfId="17" applyFont="1" applyFill="1" applyBorder="1">
      <alignment horizontal="right" vertical="top" wrapText="1"/>
    </xf>
    <xf numFmtId="0" fontId="21" fillId="0" borderId="25" xfId="0" applyFont="1" applyBorder="1" applyAlignment="1">
      <alignment horizontal="left" vertical="top" wrapText="1"/>
    </xf>
    <xf numFmtId="0" fontId="21" fillId="0" borderId="26" xfId="0" applyFont="1" applyBorder="1" applyAlignment="1">
      <alignment horizontal="left" vertical="top" wrapText="1"/>
    </xf>
    <xf numFmtId="0" fontId="20" fillId="0" borderId="27" xfId="11" applyFont="1" applyBorder="1">
      <alignment horizontal="left" vertical="top" wrapText="1"/>
    </xf>
    <xf numFmtId="0" fontId="20" fillId="0" borderId="28" xfId="11" applyFont="1" applyBorder="1">
      <alignment horizontal="left" vertical="top" wrapText="1"/>
    </xf>
    <xf numFmtId="0" fontId="20" fillId="0" borderId="29" xfId="11" applyFont="1" applyBorder="1">
      <alignment horizontal="left" vertical="top" wrapText="1"/>
    </xf>
    <xf numFmtId="0" fontId="20" fillId="0" borderId="23" xfId="11" applyFont="1" applyBorder="1">
      <alignment horizontal="left" vertical="top" wrapText="1"/>
    </xf>
    <xf numFmtId="0" fontId="19" fillId="0" borderId="29" xfId="12" applyFont="1" applyBorder="1">
      <alignment horizontal="left" vertical="top" wrapText="1"/>
    </xf>
    <xf numFmtId="0" fontId="19" fillId="0" borderId="23" xfId="12" applyFont="1" applyBorder="1">
      <alignment horizontal="left" vertical="top" wrapText="1"/>
    </xf>
    <xf numFmtId="0" fontId="21" fillId="0" borderId="7" xfId="0" applyFont="1" applyBorder="1" applyAlignment="1">
      <alignment horizontal="right" vertical="top"/>
    </xf>
    <xf numFmtId="0" fontId="21" fillId="0" borderId="23" xfId="0" applyFont="1" applyBorder="1" applyAlignment="1">
      <alignment vertical="top" wrapText="1"/>
    </xf>
    <xf numFmtId="9" fontId="0" fillId="0" borderId="6" xfId="2" applyFont="1" applyBorder="1" applyAlignment="1">
      <alignment horizontal="center"/>
    </xf>
    <xf numFmtId="44" fontId="1" fillId="0" borderId="19" xfId="16" applyFont="1" applyBorder="1"/>
    <xf numFmtId="0" fontId="11" fillId="0" borderId="25" xfId="10" applyBorder="1">
      <alignment horizontal="left" vertical="top" wrapText="1"/>
    </xf>
    <xf numFmtId="0" fontId="8" fillId="0" borderId="27" xfId="11" applyBorder="1">
      <alignment horizontal="left" vertical="top" wrapText="1"/>
    </xf>
    <xf numFmtId="0" fontId="8" fillId="0" borderId="29" xfId="7" applyBorder="1">
      <alignment horizontal="left" vertical="top" wrapText="1"/>
    </xf>
    <xf numFmtId="0" fontId="8" fillId="0" borderId="29" xfId="11" applyBorder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18" fillId="4" borderId="25" xfId="17" applyFill="1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11" fillId="0" borderId="29" xfId="12" applyBorder="1">
      <alignment horizontal="left" vertical="top" wrapText="1"/>
    </xf>
    <xf numFmtId="0" fontId="8" fillId="0" borderId="27" xfId="7" applyBorder="1">
      <alignment horizontal="left" vertical="top" wrapText="1"/>
    </xf>
    <xf numFmtId="0" fontId="16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8">
    <cellStyle name="__iAO_Article" xfId="14" xr:uid="{6586E5C2-94D8-4898-9546-4F20B51062DD}"/>
    <cellStyle name="__iAO_Prix" xfId="15" xr:uid="{00854530-89D6-49D4-A7E5-3B4E6127239E}"/>
    <cellStyle name="__iAO_Reference" xfId="13" xr:uid="{E7A017FE-03C1-4089-8DD2-3F5EB4D1AC36}"/>
    <cellStyle name="ArtTitre" xfId="7" xr:uid="{A2F038FE-F211-4302-8756-C8C62684DDF8}"/>
    <cellStyle name="ChapRecap2" xfId="17" xr:uid="{BA01E4B8-60EA-4B6D-BE9E-B53300C4EA9B}"/>
    <cellStyle name="ChapTitre0" xfId="5" xr:uid="{4453F671-F251-40DC-B7A1-22B464DA3CCD}"/>
    <cellStyle name="ChapTitre1" xfId="6" xr:uid="{F5EBC758-CBE8-4FE3-8AC1-C69FEC0158A0}"/>
    <cellStyle name="ChapTitre2" xfId="10" xr:uid="{65F737DA-F7D2-46E9-A54F-0BE4893B7647}"/>
    <cellStyle name="ChapTitre3" xfId="11" xr:uid="{41E9F8C8-F308-4E02-9A05-C0161B3DC09A}"/>
    <cellStyle name="ChapTitre4" xfId="12" xr:uid="{A1466464-E86A-4ECB-969E-47F4DD3EF137}"/>
    <cellStyle name="LocLit" xfId="9" xr:uid="{3EC6B0DA-46AA-4BD2-A764-0637604A7094}"/>
    <cellStyle name="LocTitre" xfId="8" xr:uid="{48D0AFAB-1603-4EBD-8AB2-74B6F049E4E4}"/>
    <cellStyle name="Milliers" xfId="1" builtinId="3"/>
    <cellStyle name="Monétaire" xfId="16" builtinId="4"/>
    <cellStyle name="Normal" xfId="0" builtinId="0"/>
    <cellStyle name="Numerotation" xfId="4" xr:uid="{1CAAFDCE-E88A-4FAF-B4ED-01A7E8C0998E}"/>
    <cellStyle name="Pourcentage" xfId="2" builtinId="5"/>
    <cellStyle name="S1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431"/>
  <sheetViews>
    <sheetView tabSelected="1" view="pageLayout" zoomScaleNormal="100" zoomScaleSheetLayoutView="100" workbookViewId="0">
      <selection activeCell="H16" sqref="H16"/>
    </sheetView>
  </sheetViews>
  <sheetFormatPr baseColWidth="10" defaultColWidth="12.5546875" defaultRowHeight="14.4" x14ac:dyDescent="0.3"/>
  <cols>
    <col min="1" max="1" width="9.88671875" customWidth="1"/>
    <col min="2" max="2" width="8.6640625" customWidth="1"/>
    <col min="3" max="3" width="87.88671875" bestFit="1" customWidth="1"/>
    <col min="4" max="6" width="0" hidden="1" customWidth="1"/>
    <col min="7" max="7" width="16.5546875" style="42" customWidth="1"/>
    <col min="8" max="8" width="10.5546875" style="1" customWidth="1"/>
    <col min="9" max="9" width="16.44140625" customWidth="1"/>
    <col min="10" max="10" width="18.44140625" customWidth="1"/>
    <col min="11" max="11" width="17.109375" bestFit="1" customWidth="1"/>
  </cols>
  <sheetData>
    <row r="3" spans="2:14" x14ac:dyDescent="0.3">
      <c r="B3" s="118" t="s">
        <v>0</v>
      </c>
      <c r="C3" s="119"/>
      <c r="D3" s="2" t="s">
        <v>1</v>
      </c>
      <c r="E3" s="2" t="s">
        <v>2</v>
      </c>
      <c r="F3" s="2" t="s">
        <v>3</v>
      </c>
      <c r="G3" s="40" t="s">
        <v>4</v>
      </c>
      <c r="H3" s="2" t="s">
        <v>5</v>
      </c>
      <c r="I3" s="2" t="s">
        <v>6</v>
      </c>
      <c r="J3" s="2" t="s">
        <v>7</v>
      </c>
      <c r="K3" s="2" t="s">
        <v>8</v>
      </c>
      <c r="N3" t="s">
        <v>4</v>
      </c>
    </row>
    <row r="4" spans="2:14" ht="10.5" customHeight="1" x14ac:dyDescent="0.3">
      <c r="B4" s="3"/>
      <c r="C4" s="4"/>
      <c r="D4" s="5"/>
      <c r="E4" s="5"/>
      <c r="F4" s="5"/>
      <c r="G4" s="41"/>
      <c r="H4" s="5"/>
      <c r="I4" s="5"/>
      <c r="J4" s="5"/>
      <c r="K4" s="5"/>
    </row>
    <row r="5" spans="2:14" ht="15" customHeight="1" x14ac:dyDescent="0.3">
      <c r="B5" s="62"/>
      <c r="C5" s="57"/>
      <c r="D5" s="55"/>
      <c r="E5" s="54"/>
      <c r="F5" s="11"/>
      <c r="G5" s="47"/>
      <c r="H5" s="8"/>
      <c r="I5" s="9"/>
      <c r="J5" s="9"/>
      <c r="K5" s="9"/>
    </row>
    <row r="6" spans="2:14" ht="30" customHeight="1" x14ac:dyDescent="0.3">
      <c r="B6" s="63"/>
      <c r="C6" s="117" t="s">
        <v>74</v>
      </c>
      <c r="D6" s="55"/>
      <c r="E6" s="54"/>
      <c r="F6" s="11"/>
      <c r="G6" s="47"/>
      <c r="H6" s="8"/>
      <c r="I6" s="9"/>
      <c r="J6" s="9"/>
      <c r="K6" s="9"/>
    </row>
    <row r="7" spans="2:14" ht="15" customHeight="1" x14ac:dyDescent="0.35">
      <c r="B7" s="74"/>
      <c r="C7" s="73"/>
      <c r="D7" s="55"/>
      <c r="E7" s="54"/>
      <c r="F7" s="11"/>
      <c r="G7" s="47"/>
      <c r="H7" s="8"/>
      <c r="I7" s="9"/>
      <c r="J7" s="9"/>
      <c r="K7" s="9"/>
    </row>
    <row r="8" spans="2:14" ht="15" customHeight="1" x14ac:dyDescent="0.3">
      <c r="B8" s="86" t="s">
        <v>70</v>
      </c>
      <c r="C8" s="87" t="s">
        <v>75</v>
      </c>
      <c r="D8" s="56" t="s">
        <v>9</v>
      </c>
      <c r="E8" s="53" t="s">
        <v>9</v>
      </c>
      <c r="F8" s="11"/>
      <c r="G8" s="47"/>
      <c r="H8" s="8"/>
      <c r="I8" s="9"/>
      <c r="J8" s="9"/>
      <c r="K8" s="9"/>
    </row>
    <row r="9" spans="2:14" ht="15" customHeight="1" x14ac:dyDescent="0.3">
      <c r="B9" s="88" t="s">
        <v>76</v>
      </c>
      <c r="C9" s="89" t="s">
        <v>77</v>
      </c>
      <c r="D9" s="56" t="s">
        <v>10</v>
      </c>
      <c r="E9" s="53" t="s">
        <v>10</v>
      </c>
      <c r="F9" s="11"/>
      <c r="G9" s="47">
        <f>+ROUND(N9*0.475,2)</f>
        <v>9404.9599999999991</v>
      </c>
      <c r="H9" s="8"/>
      <c r="I9" s="9">
        <f t="shared" ref="I9" si="0">ROUND(H9*G9,2)</f>
        <v>0</v>
      </c>
      <c r="J9" s="9"/>
      <c r="K9" s="9">
        <f t="shared" ref="K9" si="1">ROUND(I9-J9,2)</f>
        <v>0</v>
      </c>
      <c r="N9">
        <v>19799.91</v>
      </c>
    </row>
    <row r="10" spans="2:14" ht="15" customHeight="1" x14ac:dyDescent="0.3">
      <c r="B10" s="90" t="s">
        <v>78</v>
      </c>
      <c r="C10" s="91" t="s">
        <v>79</v>
      </c>
      <c r="D10" s="56" t="s">
        <v>10</v>
      </c>
      <c r="E10" s="53" t="s">
        <v>10</v>
      </c>
      <c r="F10" s="11"/>
      <c r="G10" s="47">
        <f>+ROUND(N10*0.475,2)</f>
        <v>376.2</v>
      </c>
      <c r="H10" s="8"/>
      <c r="I10" s="9">
        <f t="shared" ref="I10:I102" si="2">ROUND(H10*G10,2)</f>
        <v>0</v>
      </c>
      <c r="J10" s="9"/>
      <c r="K10" s="9">
        <f t="shared" ref="K10:K102" si="3">ROUND(I10-J10,2)</f>
        <v>0</v>
      </c>
      <c r="N10">
        <v>792</v>
      </c>
    </row>
    <row r="11" spans="2:14" ht="15" customHeight="1" x14ac:dyDescent="0.3">
      <c r="B11" s="92"/>
      <c r="C11" s="93"/>
      <c r="D11" s="56"/>
      <c r="E11" s="53"/>
      <c r="F11" s="11"/>
      <c r="G11" s="47"/>
      <c r="H11" s="8"/>
      <c r="I11" s="9"/>
      <c r="J11" s="9"/>
      <c r="K11" s="9"/>
    </row>
    <row r="12" spans="2:14" ht="15" customHeight="1" x14ac:dyDescent="0.3">
      <c r="B12" s="94"/>
      <c r="C12" s="95" t="s">
        <v>80</v>
      </c>
      <c r="D12" s="56"/>
      <c r="E12" s="53"/>
      <c r="F12" s="11"/>
      <c r="G12" s="78">
        <f>SUM(G9:G10)</f>
        <v>9781.16</v>
      </c>
      <c r="H12" s="8"/>
      <c r="I12" s="9"/>
      <c r="J12" s="9"/>
      <c r="K12" s="9"/>
      <c r="N12">
        <v>20592</v>
      </c>
    </row>
    <row r="13" spans="2:14" ht="15" customHeight="1" x14ac:dyDescent="0.3">
      <c r="B13" s="96"/>
      <c r="C13" s="97"/>
      <c r="D13" s="56"/>
      <c r="E13" s="53"/>
      <c r="F13" s="11"/>
      <c r="G13" s="47"/>
      <c r="H13" s="8"/>
      <c r="I13" s="9"/>
      <c r="J13" s="9"/>
      <c r="K13" s="9"/>
    </row>
    <row r="14" spans="2:14" ht="15" customHeight="1" x14ac:dyDescent="0.3">
      <c r="B14" s="86" t="s">
        <v>71</v>
      </c>
      <c r="C14" s="87" t="s">
        <v>81</v>
      </c>
      <c r="D14" s="56"/>
      <c r="E14" s="53"/>
      <c r="F14" s="11"/>
      <c r="G14" s="47"/>
      <c r="H14" s="8"/>
      <c r="I14" s="9"/>
      <c r="J14" s="9"/>
      <c r="K14" s="9"/>
    </row>
    <row r="15" spans="2:14" ht="15" customHeight="1" x14ac:dyDescent="0.3">
      <c r="B15" s="88" t="s">
        <v>82</v>
      </c>
      <c r="C15" s="89" t="s">
        <v>83</v>
      </c>
      <c r="D15" s="56"/>
      <c r="E15" s="53"/>
      <c r="F15" s="11"/>
      <c r="G15" s="47">
        <f t="shared" ref="G15:G18" si="4">+ROUND(N15*0.475,2)</f>
        <v>31939.48</v>
      </c>
      <c r="H15" s="8">
        <v>0.1</v>
      </c>
      <c r="I15" s="9">
        <f t="shared" ref="I15:I39" si="5">ROUND(H15*G15,2)</f>
        <v>3193.95</v>
      </c>
      <c r="J15" s="9"/>
      <c r="K15" s="9">
        <f t="shared" ref="K15:K39" si="6">ROUND(I15-J15,2)</f>
        <v>3193.95</v>
      </c>
      <c r="N15">
        <v>67241.02</v>
      </c>
    </row>
    <row r="16" spans="2:14" ht="15" customHeight="1" x14ac:dyDescent="0.3">
      <c r="B16" s="90" t="s">
        <v>84</v>
      </c>
      <c r="C16" s="91" t="s">
        <v>85</v>
      </c>
      <c r="D16" s="56"/>
      <c r="E16" s="53"/>
      <c r="F16" s="11"/>
      <c r="G16" s="47">
        <f t="shared" si="4"/>
        <v>940.31</v>
      </c>
      <c r="H16" s="8"/>
      <c r="I16" s="9">
        <f t="shared" si="5"/>
        <v>0</v>
      </c>
      <c r="J16" s="9"/>
      <c r="K16" s="9">
        <f t="shared" si="6"/>
        <v>0</v>
      </c>
      <c r="N16">
        <v>1979.59</v>
      </c>
    </row>
    <row r="17" spans="2:14" ht="15" customHeight="1" x14ac:dyDescent="0.3">
      <c r="B17" s="90" t="s">
        <v>86</v>
      </c>
      <c r="C17" s="91" t="s">
        <v>87</v>
      </c>
      <c r="D17" s="56"/>
      <c r="E17" s="53"/>
      <c r="F17" s="11"/>
      <c r="G17" s="47">
        <f t="shared" si="4"/>
        <v>768.08</v>
      </c>
      <c r="H17" s="8"/>
      <c r="I17" s="9">
        <f t="shared" si="5"/>
        <v>0</v>
      </c>
      <c r="J17" s="9"/>
      <c r="K17" s="9">
        <f t="shared" si="6"/>
        <v>0</v>
      </c>
      <c r="N17">
        <v>1617</v>
      </c>
    </row>
    <row r="18" spans="2:14" ht="15" customHeight="1" x14ac:dyDescent="0.3">
      <c r="B18" s="90" t="s">
        <v>88</v>
      </c>
      <c r="C18" s="91" t="s">
        <v>89</v>
      </c>
      <c r="D18" s="56"/>
      <c r="E18" s="53"/>
      <c r="F18" s="11"/>
      <c r="G18" s="47">
        <f t="shared" si="4"/>
        <v>407.55</v>
      </c>
      <c r="H18" s="8"/>
      <c r="I18" s="9">
        <f t="shared" si="5"/>
        <v>0</v>
      </c>
      <c r="J18" s="9"/>
      <c r="K18" s="9">
        <f t="shared" si="6"/>
        <v>0</v>
      </c>
      <c r="N18">
        <v>858</v>
      </c>
    </row>
    <row r="19" spans="2:14" ht="15" customHeight="1" x14ac:dyDescent="0.3">
      <c r="B19" s="92"/>
      <c r="C19" s="93"/>
      <c r="D19" s="56"/>
      <c r="E19" s="53"/>
      <c r="F19" s="11"/>
      <c r="G19" s="47"/>
      <c r="H19" s="8"/>
      <c r="I19" s="9"/>
      <c r="J19" s="9"/>
      <c r="K19" s="9"/>
      <c r="N19" s="42"/>
    </row>
    <row r="20" spans="2:14" ht="15" customHeight="1" x14ac:dyDescent="0.3">
      <c r="B20" s="94"/>
      <c r="C20" s="95" t="s">
        <v>90</v>
      </c>
      <c r="D20" s="56"/>
      <c r="E20" s="53"/>
      <c r="F20" s="11"/>
      <c r="G20" s="78">
        <f>SUM(G15:G18)</f>
        <v>34055.420000000006</v>
      </c>
      <c r="H20" s="8"/>
      <c r="I20" s="9"/>
      <c r="J20" s="9"/>
      <c r="K20" s="9"/>
      <c r="N20">
        <v>71695.61</v>
      </c>
    </row>
    <row r="21" spans="2:14" ht="15" customHeight="1" x14ac:dyDescent="0.3">
      <c r="B21" s="96"/>
      <c r="C21" s="97"/>
      <c r="D21" s="56"/>
      <c r="E21" s="53"/>
      <c r="F21" s="11"/>
      <c r="G21" s="47"/>
      <c r="H21" s="8"/>
      <c r="I21" s="9"/>
      <c r="J21" s="9"/>
      <c r="K21" s="9"/>
      <c r="N21" s="42"/>
    </row>
    <row r="22" spans="2:14" ht="15" customHeight="1" x14ac:dyDescent="0.3">
      <c r="B22" s="86" t="s">
        <v>91</v>
      </c>
      <c r="C22" s="87" t="s">
        <v>92</v>
      </c>
      <c r="D22" s="56"/>
      <c r="E22" s="53"/>
      <c r="F22" s="11"/>
      <c r="G22" s="47"/>
      <c r="H22" s="8"/>
      <c r="I22" s="9"/>
      <c r="J22" s="9"/>
      <c r="K22" s="9"/>
    </row>
    <row r="23" spans="2:14" ht="15" customHeight="1" x14ac:dyDescent="0.3">
      <c r="B23" s="98" t="s">
        <v>93</v>
      </c>
      <c r="C23" s="99" t="s">
        <v>94</v>
      </c>
      <c r="D23" s="56"/>
      <c r="E23" s="53"/>
      <c r="F23" s="11"/>
      <c r="G23" s="47"/>
      <c r="H23" s="8"/>
      <c r="I23" s="9"/>
      <c r="J23" s="9"/>
      <c r="K23" s="9"/>
    </row>
    <row r="24" spans="2:14" ht="15" customHeight="1" x14ac:dyDescent="0.3">
      <c r="B24" s="90" t="s">
        <v>95</v>
      </c>
      <c r="C24" s="91" t="s">
        <v>96</v>
      </c>
      <c r="D24" s="56"/>
      <c r="E24" s="53"/>
      <c r="F24" s="11"/>
      <c r="G24" s="47">
        <f t="shared" ref="G24:G45" si="7">+ROUND(N24*0.475,2)</f>
        <v>133.80000000000001</v>
      </c>
      <c r="H24" s="106"/>
      <c r="I24" s="9">
        <f t="shared" si="5"/>
        <v>0</v>
      </c>
      <c r="J24" s="9"/>
      <c r="K24" s="9">
        <f t="shared" si="6"/>
        <v>0</v>
      </c>
      <c r="N24">
        <v>281.69</v>
      </c>
    </row>
    <row r="25" spans="2:14" ht="15" customHeight="1" x14ac:dyDescent="0.3">
      <c r="B25" s="90" t="s">
        <v>97</v>
      </c>
      <c r="C25" s="91" t="s">
        <v>98</v>
      </c>
      <c r="D25" s="56"/>
      <c r="E25" s="53"/>
      <c r="F25" s="11"/>
      <c r="G25" s="47">
        <f t="shared" si="7"/>
        <v>678.58</v>
      </c>
      <c r="H25" s="106"/>
      <c r="I25" s="9">
        <f t="shared" si="5"/>
        <v>0</v>
      </c>
      <c r="J25" s="9"/>
      <c r="K25" s="9">
        <f t="shared" si="6"/>
        <v>0</v>
      </c>
      <c r="N25">
        <v>1428.59</v>
      </c>
    </row>
    <row r="26" spans="2:14" ht="15" customHeight="1" x14ac:dyDescent="0.3">
      <c r="B26" s="90" t="s">
        <v>99</v>
      </c>
      <c r="C26" s="91" t="s">
        <v>100</v>
      </c>
      <c r="D26" s="56"/>
      <c r="E26" s="53"/>
      <c r="F26" s="11"/>
      <c r="G26" s="47">
        <f t="shared" si="7"/>
        <v>1590.39</v>
      </c>
      <c r="H26" s="106"/>
      <c r="I26" s="9">
        <f t="shared" si="5"/>
        <v>0</v>
      </c>
      <c r="J26" s="9"/>
      <c r="K26" s="9">
        <f t="shared" si="6"/>
        <v>0</v>
      </c>
      <c r="N26">
        <v>3348.19</v>
      </c>
    </row>
    <row r="27" spans="2:14" ht="15" customHeight="1" x14ac:dyDescent="0.3">
      <c r="B27" s="100" t="s">
        <v>101</v>
      </c>
      <c r="C27" s="101" t="s">
        <v>102</v>
      </c>
      <c r="D27" s="56"/>
      <c r="E27" s="53"/>
      <c r="F27" s="11"/>
      <c r="G27" s="47">
        <f t="shared" si="7"/>
        <v>0</v>
      </c>
      <c r="H27" s="106"/>
      <c r="I27" s="9"/>
      <c r="J27" s="9"/>
      <c r="K27" s="9"/>
    </row>
    <row r="28" spans="2:14" ht="15" customHeight="1" x14ac:dyDescent="0.3">
      <c r="B28" s="90" t="s">
        <v>103</v>
      </c>
      <c r="C28" s="91" t="s">
        <v>104</v>
      </c>
      <c r="D28" s="56"/>
      <c r="E28" s="53"/>
      <c r="F28" s="11"/>
      <c r="G28" s="47">
        <f t="shared" si="7"/>
        <v>4577.22</v>
      </c>
      <c r="H28" s="106"/>
      <c r="I28" s="9">
        <f t="shared" si="5"/>
        <v>0</v>
      </c>
      <c r="J28" s="9"/>
      <c r="K28" s="9">
        <f t="shared" si="6"/>
        <v>0</v>
      </c>
      <c r="N28">
        <v>9636.26</v>
      </c>
    </row>
    <row r="29" spans="2:14" ht="15" customHeight="1" x14ac:dyDescent="0.3">
      <c r="B29" s="90" t="s">
        <v>105</v>
      </c>
      <c r="C29" s="91" t="s">
        <v>106</v>
      </c>
      <c r="D29" s="56"/>
      <c r="E29" s="53"/>
      <c r="F29" s="11"/>
      <c r="G29" s="47">
        <f t="shared" si="7"/>
        <v>102.05</v>
      </c>
      <c r="H29" s="106"/>
      <c r="I29" s="9">
        <f t="shared" si="5"/>
        <v>0</v>
      </c>
      <c r="J29" s="9"/>
      <c r="K29" s="9">
        <f t="shared" si="6"/>
        <v>0</v>
      </c>
      <c r="N29">
        <v>214.84</v>
      </c>
    </row>
    <row r="30" spans="2:14" ht="15" customHeight="1" x14ac:dyDescent="0.3">
      <c r="B30" s="100" t="s">
        <v>107</v>
      </c>
      <c r="C30" s="101" t="s">
        <v>108</v>
      </c>
      <c r="D30" s="56"/>
      <c r="E30" s="53"/>
      <c r="F30" s="11"/>
      <c r="G30" s="47">
        <f t="shared" si="7"/>
        <v>0</v>
      </c>
      <c r="H30" s="106"/>
      <c r="I30" s="9"/>
      <c r="J30" s="9"/>
      <c r="K30" s="9"/>
    </row>
    <row r="31" spans="2:14" ht="15" customHeight="1" x14ac:dyDescent="0.3">
      <c r="B31" s="90" t="s">
        <v>109</v>
      </c>
      <c r="C31" s="91" t="s">
        <v>110</v>
      </c>
      <c r="D31" s="56"/>
      <c r="E31" s="53"/>
      <c r="F31" s="11"/>
      <c r="G31" s="47">
        <f t="shared" si="7"/>
        <v>391.85</v>
      </c>
      <c r="H31" s="106"/>
      <c r="I31" s="9">
        <f t="shared" si="5"/>
        <v>0</v>
      </c>
      <c r="J31" s="9"/>
      <c r="K31" s="9">
        <f t="shared" si="6"/>
        <v>0</v>
      </c>
      <c r="N31">
        <v>824.95</v>
      </c>
    </row>
    <row r="32" spans="2:14" ht="15" customHeight="1" x14ac:dyDescent="0.3">
      <c r="B32" s="90" t="s">
        <v>111</v>
      </c>
      <c r="C32" s="91" t="s">
        <v>112</v>
      </c>
      <c r="D32" s="56"/>
      <c r="E32" s="53"/>
      <c r="F32" s="11"/>
      <c r="G32" s="47">
        <f t="shared" si="7"/>
        <v>440.71</v>
      </c>
      <c r="H32" s="106"/>
      <c r="I32" s="9">
        <f t="shared" si="5"/>
        <v>0</v>
      </c>
      <c r="J32" s="9"/>
      <c r="K32" s="9">
        <f t="shared" si="6"/>
        <v>0</v>
      </c>
      <c r="N32">
        <v>927.8</v>
      </c>
    </row>
    <row r="33" spans="2:14" ht="15" customHeight="1" x14ac:dyDescent="0.3">
      <c r="B33" s="90" t="s">
        <v>113</v>
      </c>
      <c r="C33" s="91" t="s">
        <v>114</v>
      </c>
      <c r="D33" s="56"/>
      <c r="E33" s="53"/>
      <c r="F33" s="11"/>
      <c r="G33" s="47">
        <f t="shared" si="7"/>
        <v>503.93</v>
      </c>
      <c r="H33" s="106"/>
      <c r="I33" s="9">
        <f t="shared" si="5"/>
        <v>0</v>
      </c>
      <c r="J33" s="9"/>
      <c r="K33" s="9">
        <f t="shared" si="6"/>
        <v>0</v>
      </c>
      <c r="N33">
        <v>1060.9000000000001</v>
      </c>
    </row>
    <row r="34" spans="2:14" ht="15" customHeight="1" x14ac:dyDescent="0.3">
      <c r="B34" s="100" t="s">
        <v>115</v>
      </c>
      <c r="C34" s="101" t="s">
        <v>116</v>
      </c>
      <c r="D34" s="56"/>
      <c r="E34" s="53"/>
      <c r="F34" s="11"/>
      <c r="G34" s="47">
        <f t="shared" si="7"/>
        <v>0</v>
      </c>
      <c r="H34" s="106"/>
      <c r="I34" s="9"/>
      <c r="J34" s="9"/>
      <c r="K34" s="9"/>
    </row>
    <row r="35" spans="2:14" ht="15" customHeight="1" x14ac:dyDescent="0.3">
      <c r="B35" s="90" t="s">
        <v>117</v>
      </c>
      <c r="C35" s="91" t="s">
        <v>118</v>
      </c>
      <c r="D35" s="56"/>
      <c r="E35" s="53"/>
      <c r="F35" s="11"/>
      <c r="G35" s="47">
        <f t="shared" si="7"/>
        <v>1036.0899999999999</v>
      </c>
      <c r="H35" s="106"/>
      <c r="I35" s="9">
        <f t="shared" si="5"/>
        <v>0</v>
      </c>
      <c r="J35" s="9"/>
      <c r="K35" s="9">
        <f t="shared" si="6"/>
        <v>0</v>
      </c>
      <c r="N35">
        <v>2181.2399999999998</v>
      </c>
    </row>
    <row r="36" spans="2:14" ht="15" customHeight="1" x14ac:dyDescent="0.3">
      <c r="B36" s="90" t="s">
        <v>119</v>
      </c>
      <c r="C36" s="91" t="s">
        <v>120</v>
      </c>
      <c r="D36" s="56"/>
      <c r="E36" s="53"/>
      <c r="F36" s="11"/>
      <c r="G36" s="47">
        <f t="shared" si="7"/>
        <v>1716.41</v>
      </c>
      <c r="H36" s="106"/>
      <c r="I36" s="9">
        <f t="shared" si="5"/>
        <v>0</v>
      </c>
      <c r="J36" s="9"/>
      <c r="K36" s="9">
        <f t="shared" si="6"/>
        <v>0</v>
      </c>
      <c r="N36">
        <v>3613.5</v>
      </c>
    </row>
    <row r="37" spans="2:14" ht="15" customHeight="1" x14ac:dyDescent="0.3">
      <c r="B37" s="90" t="s">
        <v>121</v>
      </c>
      <c r="C37" s="91" t="s">
        <v>122</v>
      </c>
      <c r="D37" s="56"/>
      <c r="E37" s="53"/>
      <c r="F37" s="11"/>
      <c r="G37" s="47">
        <f t="shared" si="7"/>
        <v>2319.5</v>
      </c>
      <c r="H37" s="106"/>
      <c r="I37" s="9">
        <f t="shared" si="5"/>
        <v>0</v>
      </c>
      <c r="J37" s="9"/>
      <c r="K37" s="9">
        <f t="shared" si="6"/>
        <v>0</v>
      </c>
      <c r="N37">
        <v>4883.1499999999996</v>
      </c>
    </row>
    <row r="38" spans="2:14" ht="15" customHeight="1" x14ac:dyDescent="0.3">
      <c r="B38" s="100" t="s">
        <v>123</v>
      </c>
      <c r="C38" s="101" t="s">
        <v>124</v>
      </c>
      <c r="D38" s="56"/>
      <c r="E38" s="53"/>
      <c r="F38" s="11"/>
      <c r="G38" s="47">
        <f t="shared" si="7"/>
        <v>0</v>
      </c>
      <c r="H38" s="106"/>
      <c r="I38" s="9"/>
      <c r="J38" s="9"/>
      <c r="K38" s="9"/>
    </row>
    <row r="39" spans="2:14" ht="15" customHeight="1" x14ac:dyDescent="0.3">
      <c r="B39" s="90" t="s">
        <v>125</v>
      </c>
      <c r="C39" s="91" t="s">
        <v>126</v>
      </c>
      <c r="D39" s="56"/>
      <c r="E39" s="53"/>
      <c r="F39" s="11"/>
      <c r="G39" s="47">
        <f t="shared" si="7"/>
        <v>59.09</v>
      </c>
      <c r="H39" s="106"/>
      <c r="I39" s="9">
        <f t="shared" si="5"/>
        <v>0</v>
      </c>
      <c r="J39" s="9"/>
      <c r="K39" s="9">
        <f t="shared" si="6"/>
        <v>0</v>
      </c>
      <c r="N39">
        <v>124.4</v>
      </c>
    </row>
    <row r="40" spans="2:14" ht="15" customHeight="1" x14ac:dyDescent="0.3">
      <c r="B40" s="90" t="s">
        <v>127</v>
      </c>
      <c r="C40" s="91" t="s">
        <v>128</v>
      </c>
      <c r="D40" s="56"/>
      <c r="E40" s="53"/>
      <c r="F40" s="11"/>
      <c r="G40" s="47">
        <f t="shared" si="7"/>
        <v>105.12</v>
      </c>
      <c r="H40" s="106"/>
      <c r="I40" s="9">
        <f t="shared" si="2"/>
        <v>0</v>
      </c>
      <c r="J40" s="9"/>
      <c r="K40" s="9">
        <f t="shared" si="3"/>
        <v>0</v>
      </c>
      <c r="N40">
        <v>221.3</v>
      </c>
    </row>
    <row r="41" spans="2:14" ht="15" customHeight="1" x14ac:dyDescent="0.3">
      <c r="B41" s="90" t="s">
        <v>129</v>
      </c>
      <c r="C41" s="91" t="s">
        <v>130</v>
      </c>
      <c r="D41" s="56"/>
      <c r="E41" s="53"/>
      <c r="F41" s="11"/>
      <c r="G41" s="47">
        <f t="shared" si="7"/>
        <v>78.16</v>
      </c>
      <c r="H41" s="106"/>
      <c r="I41" s="9">
        <f t="shared" si="2"/>
        <v>0</v>
      </c>
      <c r="J41" s="9"/>
      <c r="K41" s="9">
        <f t="shared" si="3"/>
        <v>0</v>
      </c>
      <c r="N41">
        <v>164.54</v>
      </c>
    </row>
    <row r="42" spans="2:14" ht="15" customHeight="1" x14ac:dyDescent="0.3">
      <c r="B42" s="100" t="s">
        <v>131</v>
      </c>
      <c r="C42" s="101" t="s">
        <v>132</v>
      </c>
      <c r="D42" s="56"/>
      <c r="E42" s="53"/>
      <c r="F42" s="11"/>
      <c r="G42" s="47">
        <f t="shared" si="7"/>
        <v>0</v>
      </c>
      <c r="H42" s="106"/>
      <c r="I42" s="9"/>
      <c r="J42" s="9"/>
      <c r="K42" s="9"/>
    </row>
    <row r="43" spans="2:14" ht="15" customHeight="1" x14ac:dyDescent="0.3">
      <c r="B43" s="90" t="s">
        <v>133</v>
      </c>
      <c r="C43" s="91" t="s">
        <v>134</v>
      </c>
      <c r="D43" s="56"/>
      <c r="E43" s="53"/>
      <c r="F43" s="11"/>
      <c r="G43" s="47">
        <f t="shared" si="7"/>
        <v>349.56</v>
      </c>
      <c r="H43" s="106"/>
      <c r="I43" s="9">
        <f t="shared" si="2"/>
        <v>0</v>
      </c>
      <c r="J43" s="9"/>
      <c r="K43" s="9">
        <f t="shared" si="3"/>
        <v>0</v>
      </c>
      <c r="N43">
        <v>735.91</v>
      </c>
    </row>
    <row r="44" spans="2:14" ht="15" customHeight="1" x14ac:dyDescent="0.3">
      <c r="B44" s="90" t="s">
        <v>135</v>
      </c>
      <c r="C44" s="91" t="s">
        <v>136</v>
      </c>
      <c r="D44" s="56"/>
      <c r="E44" s="53"/>
      <c r="F44" s="11"/>
      <c r="G44" s="47">
        <f t="shared" si="7"/>
        <v>1245.43</v>
      </c>
      <c r="H44" s="106"/>
      <c r="I44" s="9">
        <f t="shared" si="2"/>
        <v>0</v>
      </c>
      <c r="J44" s="9"/>
      <c r="K44" s="9">
        <f t="shared" si="3"/>
        <v>0</v>
      </c>
      <c r="N44">
        <v>2621.95</v>
      </c>
    </row>
    <row r="45" spans="2:14" ht="15" customHeight="1" x14ac:dyDescent="0.3">
      <c r="B45" s="90" t="s">
        <v>137</v>
      </c>
      <c r="C45" s="91" t="s">
        <v>138</v>
      </c>
      <c r="D45" s="56" t="s">
        <v>11</v>
      </c>
      <c r="E45" s="53" t="s">
        <v>11</v>
      </c>
      <c r="F45" s="11"/>
      <c r="G45" s="47">
        <f t="shared" si="7"/>
        <v>841.51</v>
      </c>
      <c r="H45" s="106"/>
      <c r="I45" s="9">
        <f t="shared" si="2"/>
        <v>0</v>
      </c>
      <c r="J45" s="9"/>
      <c r="K45" s="9">
        <f t="shared" si="3"/>
        <v>0</v>
      </c>
      <c r="N45">
        <v>1771.6</v>
      </c>
    </row>
    <row r="46" spans="2:14" ht="15" customHeight="1" x14ac:dyDescent="0.3">
      <c r="B46" s="92"/>
      <c r="C46" s="93"/>
      <c r="D46" s="56" t="s">
        <v>12</v>
      </c>
      <c r="E46" s="53" t="s">
        <v>12</v>
      </c>
      <c r="F46" s="11"/>
      <c r="G46" s="47"/>
      <c r="H46" s="8"/>
      <c r="I46" s="9"/>
      <c r="J46" s="9"/>
      <c r="K46" s="9"/>
    </row>
    <row r="47" spans="2:14" ht="15" customHeight="1" x14ac:dyDescent="0.3">
      <c r="B47" s="94"/>
      <c r="C47" s="95" t="s">
        <v>139</v>
      </c>
      <c r="D47" s="56" t="s">
        <v>13</v>
      </c>
      <c r="E47" s="53" t="s">
        <v>13</v>
      </c>
      <c r="F47" s="11"/>
      <c r="G47" s="78">
        <f>SUM(G24:G45)</f>
        <v>16169.400000000001</v>
      </c>
      <c r="H47" s="8"/>
      <c r="I47" s="9"/>
      <c r="J47" s="9"/>
      <c r="K47" s="9"/>
      <c r="N47">
        <v>34040.810000000005</v>
      </c>
    </row>
    <row r="48" spans="2:14" ht="15" customHeight="1" x14ac:dyDescent="0.3">
      <c r="B48" s="96"/>
      <c r="C48" s="97"/>
      <c r="D48" s="56" t="s">
        <v>15</v>
      </c>
      <c r="E48" s="53" t="s">
        <v>15</v>
      </c>
      <c r="F48" s="11"/>
      <c r="G48" s="47"/>
      <c r="H48" s="8"/>
      <c r="I48" s="9"/>
      <c r="J48" s="9"/>
      <c r="K48" s="9"/>
    </row>
    <row r="49" spans="2:14" ht="15" customHeight="1" x14ac:dyDescent="0.3">
      <c r="B49" s="86" t="s">
        <v>140</v>
      </c>
      <c r="C49" s="87" t="s">
        <v>141</v>
      </c>
      <c r="D49" s="56" t="s">
        <v>16</v>
      </c>
      <c r="E49" s="53" t="s">
        <v>16</v>
      </c>
      <c r="F49" s="11"/>
      <c r="G49" s="47"/>
      <c r="H49" s="8"/>
      <c r="I49" s="9"/>
      <c r="J49" s="9"/>
      <c r="K49" s="9"/>
    </row>
    <row r="50" spans="2:14" ht="15" customHeight="1" x14ac:dyDescent="0.3">
      <c r="B50" s="98" t="s">
        <v>142</v>
      </c>
      <c r="C50" s="99" t="s">
        <v>143</v>
      </c>
      <c r="D50" s="56" t="s">
        <v>18</v>
      </c>
      <c r="E50" s="53" t="s">
        <v>18</v>
      </c>
      <c r="F50" s="11"/>
      <c r="G50" s="47"/>
      <c r="H50" s="8"/>
      <c r="I50" s="9"/>
      <c r="J50" s="9"/>
      <c r="K50" s="9"/>
    </row>
    <row r="51" spans="2:14" ht="15" customHeight="1" x14ac:dyDescent="0.3">
      <c r="B51" s="90" t="s">
        <v>144</v>
      </c>
      <c r="C51" s="91" t="s">
        <v>145</v>
      </c>
      <c r="D51" s="56" t="s">
        <v>19</v>
      </c>
      <c r="E51" s="53" t="s">
        <v>19</v>
      </c>
      <c r="F51" s="11"/>
      <c r="G51" s="47">
        <f t="shared" ref="G51:G75" si="8">+ROUND(N51*0.475,2)</f>
        <v>2767.58</v>
      </c>
      <c r="H51" s="106"/>
      <c r="I51" s="9">
        <f t="shared" si="2"/>
        <v>0</v>
      </c>
      <c r="J51" s="9"/>
      <c r="K51" s="9">
        <f t="shared" si="3"/>
        <v>0</v>
      </c>
      <c r="N51">
        <v>5826.49</v>
      </c>
    </row>
    <row r="52" spans="2:14" ht="15" customHeight="1" x14ac:dyDescent="0.3">
      <c r="B52" s="100" t="s">
        <v>146</v>
      </c>
      <c r="C52" s="101" t="s">
        <v>147</v>
      </c>
      <c r="D52" s="56" t="s">
        <v>20</v>
      </c>
      <c r="E52" s="53" t="s">
        <v>20</v>
      </c>
      <c r="F52" s="11"/>
      <c r="G52" s="47">
        <f t="shared" si="8"/>
        <v>0</v>
      </c>
      <c r="H52" s="106"/>
      <c r="I52" s="9"/>
      <c r="J52" s="9"/>
      <c r="K52" s="9"/>
    </row>
    <row r="53" spans="2:14" ht="15" customHeight="1" x14ac:dyDescent="0.3">
      <c r="B53" s="90" t="s">
        <v>148</v>
      </c>
      <c r="C53" s="91" t="s">
        <v>149</v>
      </c>
      <c r="D53" s="56" t="s">
        <v>14</v>
      </c>
      <c r="E53" s="53" t="s">
        <v>14</v>
      </c>
      <c r="F53" s="11"/>
      <c r="G53" s="47">
        <f t="shared" si="8"/>
        <v>118.93</v>
      </c>
      <c r="H53" s="106"/>
      <c r="I53" s="9">
        <f t="shared" si="2"/>
        <v>0</v>
      </c>
      <c r="J53" s="9"/>
      <c r="K53" s="9">
        <f t="shared" si="3"/>
        <v>0</v>
      </c>
      <c r="N53">
        <v>250.37</v>
      </c>
    </row>
    <row r="54" spans="2:14" ht="15" customHeight="1" x14ac:dyDescent="0.3">
      <c r="B54" s="100" t="s">
        <v>150</v>
      </c>
      <c r="C54" s="101" t="s">
        <v>151</v>
      </c>
      <c r="D54" s="56" t="s">
        <v>21</v>
      </c>
      <c r="E54" s="53" t="s">
        <v>21</v>
      </c>
      <c r="F54" s="11"/>
      <c r="G54" s="47">
        <f t="shared" si="8"/>
        <v>0</v>
      </c>
      <c r="H54" s="106"/>
      <c r="I54" s="9"/>
      <c r="J54" s="9"/>
      <c r="K54" s="9"/>
    </row>
    <row r="55" spans="2:14" ht="15" customHeight="1" x14ac:dyDescent="0.3">
      <c r="B55" s="90" t="s">
        <v>152</v>
      </c>
      <c r="C55" s="91" t="s">
        <v>153</v>
      </c>
      <c r="D55" s="56" t="s">
        <v>22</v>
      </c>
      <c r="E55" s="53" t="s">
        <v>22</v>
      </c>
      <c r="F55" s="11"/>
      <c r="G55" s="47">
        <f t="shared" si="8"/>
        <v>2269.1999999999998</v>
      </c>
      <c r="H55" s="106"/>
      <c r="I55" s="9">
        <f t="shared" si="2"/>
        <v>0</v>
      </c>
      <c r="J55" s="9"/>
      <c r="K55" s="9">
        <f t="shared" si="3"/>
        <v>0</v>
      </c>
      <c r="N55">
        <v>4777.26</v>
      </c>
    </row>
    <row r="56" spans="2:14" ht="15" customHeight="1" x14ac:dyDescent="0.3">
      <c r="B56" s="90" t="s">
        <v>154</v>
      </c>
      <c r="C56" s="91" t="s">
        <v>155</v>
      </c>
      <c r="D56" s="56" t="s">
        <v>23</v>
      </c>
      <c r="E56" s="53" t="s">
        <v>23</v>
      </c>
      <c r="F56" s="11"/>
      <c r="G56" s="47">
        <f t="shared" si="8"/>
        <v>3403.93</v>
      </c>
      <c r="H56" s="106"/>
      <c r="I56" s="9">
        <f t="shared" si="2"/>
        <v>0</v>
      </c>
      <c r="J56" s="9"/>
      <c r="K56" s="9">
        <f t="shared" si="3"/>
        <v>0</v>
      </c>
      <c r="N56">
        <v>7166.17</v>
      </c>
    </row>
    <row r="57" spans="2:14" ht="15" customHeight="1" x14ac:dyDescent="0.3">
      <c r="B57" s="90" t="s">
        <v>156</v>
      </c>
      <c r="C57" s="91" t="s">
        <v>157</v>
      </c>
      <c r="D57" s="56" t="s">
        <v>24</v>
      </c>
      <c r="E57" s="53" t="s">
        <v>24</v>
      </c>
      <c r="F57" s="11"/>
      <c r="G57" s="47">
        <f t="shared" si="8"/>
        <v>905.05</v>
      </c>
      <c r="H57" s="106"/>
      <c r="I57" s="9">
        <f t="shared" si="2"/>
        <v>0</v>
      </c>
      <c r="J57" s="9"/>
      <c r="K57" s="9">
        <f t="shared" si="3"/>
        <v>0</v>
      </c>
      <c r="N57">
        <v>1905.36</v>
      </c>
    </row>
    <row r="58" spans="2:14" ht="15" customHeight="1" x14ac:dyDescent="0.3">
      <c r="B58" s="90" t="s">
        <v>158</v>
      </c>
      <c r="C58" s="91" t="s">
        <v>159</v>
      </c>
      <c r="D58" s="56" t="s">
        <v>25</v>
      </c>
      <c r="E58" s="53" t="s">
        <v>25</v>
      </c>
      <c r="F58" s="11"/>
      <c r="G58" s="47">
        <f t="shared" si="8"/>
        <v>8793.68</v>
      </c>
      <c r="H58" s="106"/>
      <c r="I58" s="9">
        <f t="shared" si="2"/>
        <v>0</v>
      </c>
      <c r="J58" s="9"/>
      <c r="K58" s="9">
        <f t="shared" si="3"/>
        <v>0</v>
      </c>
      <c r="N58">
        <v>18513.009999999998</v>
      </c>
    </row>
    <row r="59" spans="2:14" ht="15" customHeight="1" x14ac:dyDescent="0.3">
      <c r="B59" s="100" t="s">
        <v>160</v>
      </c>
      <c r="C59" s="101" t="s">
        <v>161</v>
      </c>
      <c r="D59" s="56" t="s">
        <v>26</v>
      </c>
      <c r="E59" s="53" t="s">
        <v>26</v>
      </c>
      <c r="F59" s="11"/>
      <c r="G59" s="47">
        <f t="shared" si="8"/>
        <v>0</v>
      </c>
      <c r="H59" s="106"/>
      <c r="I59" s="9"/>
      <c r="J59" s="9"/>
      <c r="K59" s="9"/>
    </row>
    <row r="60" spans="2:14" ht="15" customHeight="1" x14ac:dyDescent="0.3">
      <c r="B60" s="90" t="s">
        <v>162</v>
      </c>
      <c r="C60" s="91" t="s">
        <v>163</v>
      </c>
      <c r="D60" s="56" t="s">
        <v>27</v>
      </c>
      <c r="E60" s="53" t="s">
        <v>27</v>
      </c>
      <c r="F60" s="11"/>
      <c r="G60" s="47">
        <f t="shared" si="8"/>
        <v>470.37</v>
      </c>
      <c r="H60" s="106"/>
      <c r="I60" s="9">
        <f t="shared" si="2"/>
        <v>0</v>
      </c>
      <c r="J60" s="9"/>
      <c r="K60" s="9">
        <f t="shared" si="3"/>
        <v>0</v>
      </c>
      <c r="N60">
        <v>990.26</v>
      </c>
    </row>
    <row r="61" spans="2:14" ht="15" customHeight="1" x14ac:dyDescent="0.3">
      <c r="B61" s="100" t="s">
        <v>164</v>
      </c>
      <c r="C61" s="101" t="s">
        <v>165</v>
      </c>
      <c r="D61" s="56" t="s">
        <v>28</v>
      </c>
      <c r="E61" s="53" t="s">
        <v>28</v>
      </c>
      <c r="F61" s="11"/>
      <c r="G61" s="47">
        <f t="shared" si="8"/>
        <v>0</v>
      </c>
      <c r="H61" s="106"/>
      <c r="I61" s="9"/>
      <c r="J61" s="9"/>
      <c r="K61" s="9"/>
    </row>
    <row r="62" spans="2:14" ht="15" customHeight="1" x14ac:dyDescent="0.3">
      <c r="B62" s="102" t="s">
        <v>166</v>
      </c>
      <c r="C62" s="103" t="s">
        <v>167</v>
      </c>
      <c r="D62" s="56"/>
      <c r="E62" s="53"/>
      <c r="F62" s="11"/>
      <c r="G62" s="47">
        <f t="shared" si="8"/>
        <v>0</v>
      </c>
      <c r="H62" s="106"/>
      <c r="I62" s="9"/>
      <c r="J62" s="9"/>
      <c r="K62" s="9"/>
    </row>
    <row r="63" spans="2:14" x14ac:dyDescent="0.3">
      <c r="B63" s="90" t="s">
        <v>168</v>
      </c>
      <c r="C63" s="91" t="s">
        <v>169</v>
      </c>
      <c r="D63" s="56"/>
      <c r="E63" s="53"/>
      <c r="F63" s="11"/>
      <c r="G63" s="47">
        <f t="shared" si="8"/>
        <v>325.13</v>
      </c>
      <c r="H63" s="106"/>
      <c r="I63" s="9">
        <f t="shared" si="2"/>
        <v>0</v>
      </c>
      <c r="J63" s="9"/>
      <c r="K63" s="9">
        <f t="shared" si="3"/>
        <v>0</v>
      </c>
      <c r="N63">
        <v>684.48</v>
      </c>
    </row>
    <row r="64" spans="2:14" x14ac:dyDescent="0.3">
      <c r="B64" s="102" t="s">
        <v>170</v>
      </c>
      <c r="C64" s="103" t="s">
        <v>171</v>
      </c>
      <c r="D64" s="56"/>
      <c r="E64" s="53"/>
      <c r="F64" s="11"/>
      <c r="G64" s="47">
        <f t="shared" si="8"/>
        <v>0</v>
      </c>
      <c r="H64" s="106"/>
      <c r="I64" s="9"/>
      <c r="J64" s="9"/>
      <c r="K64" s="9"/>
    </row>
    <row r="65" spans="2:14" x14ac:dyDescent="0.3">
      <c r="B65" s="90" t="s">
        <v>172</v>
      </c>
      <c r="C65" s="91" t="s">
        <v>173</v>
      </c>
      <c r="D65" s="56"/>
      <c r="E65" s="53"/>
      <c r="F65" s="11"/>
      <c r="G65" s="47">
        <f t="shared" si="8"/>
        <v>1163.8599999999999</v>
      </c>
      <c r="H65" s="106"/>
      <c r="I65" s="9">
        <f t="shared" si="2"/>
        <v>0</v>
      </c>
      <c r="J65" s="9"/>
      <c r="K65" s="9">
        <f t="shared" si="3"/>
        <v>0</v>
      </c>
      <c r="N65">
        <v>2450.2399999999998</v>
      </c>
    </row>
    <row r="66" spans="2:14" x14ac:dyDescent="0.3">
      <c r="B66" s="102" t="s">
        <v>174</v>
      </c>
      <c r="C66" s="103" t="s">
        <v>175</v>
      </c>
      <c r="D66" s="56"/>
      <c r="E66" s="53"/>
      <c r="F66" s="11"/>
      <c r="G66" s="47">
        <f t="shared" si="8"/>
        <v>0</v>
      </c>
      <c r="H66" s="106"/>
      <c r="I66" s="9"/>
      <c r="J66" s="9"/>
      <c r="K66" s="9"/>
    </row>
    <row r="67" spans="2:14" ht="15" customHeight="1" x14ac:dyDescent="0.3">
      <c r="B67" s="90" t="s">
        <v>176</v>
      </c>
      <c r="C67" s="91" t="s">
        <v>177</v>
      </c>
      <c r="D67" s="56"/>
      <c r="E67" s="53"/>
      <c r="F67" s="11"/>
      <c r="G67" s="47">
        <f t="shared" si="8"/>
        <v>130.76</v>
      </c>
      <c r="H67" s="106"/>
      <c r="I67" s="9">
        <f t="shared" si="2"/>
        <v>0</v>
      </c>
      <c r="J67" s="9"/>
      <c r="K67" s="9">
        <f t="shared" si="3"/>
        <v>0</v>
      </c>
      <c r="N67">
        <v>275.27999999999997</v>
      </c>
    </row>
    <row r="68" spans="2:14" ht="15" customHeight="1" x14ac:dyDescent="0.3">
      <c r="B68" s="102" t="s">
        <v>178</v>
      </c>
      <c r="C68" s="103" t="s">
        <v>179</v>
      </c>
      <c r="D68" s="56"/>
      <c r="E68" s="53"/>
      <c r="F68" s="11"/>
      <c r="G68" s="47">
        <f t="shared" si="8"/>
        <v>0</v>
      </c>
      <c r="H68" s="106"/>
      <c r="I68" s="9"/>
      <c r="J68" s="9"/>
      <c r="K68" s="9"/>
    </row>
    <row r="69" spans="2:14" ht="15" customHeight="1" x14ac:dyDescent="0.3">
      <c r="B69" s="90" t="s">
        <v>180</v>
      </c>
      <c r="C69" s="91" t="s">
        <v>181</v>
      </c>
      <c r="D69" s="56"/>
      <c r="E69" s="53"/>
      <c r="F69" s="11"/>
      <c r="G69" s="47">
        <f t="shared" si="8"/>
        <v>145.72999999999999</v>
      </c>
      <c r="H69" s="106"/>
      <c r="I69" s="9">
        <f t="shared" si="2"/>
        <v>0</v>
      </c>
      <c r="J69" s="9"/>
      <c r="K69" s="9">
        <f t="shared" si="3"/>
        <v>0</v>
      </c>
      <c r="N69">
        <v>306.8</v>
      </c>
    </row>
    <row r="70" spans="2:14" ht="15" customHeight="1" x14ac:dyDescent="0.3">
      <c r="B70" s="102" t="s">
        <v>182</v>
      </c>
      <c r="C70" s="103" t="s">
        <v>183</v>
      </c>
      <c r="D70" s="56"/>
      <c r="E70" s="53"/>
      <c r="F70" s="11"/>
      <c r="G70" s="47">
        <f t="shared" si="8"/>
        <v>0</v>
      </c>
      <c r="H70" s="106"/>
      <c r="I70" s="9"/>
      <c r="J70" s="9"/>
      <c r="K70" s="9"/>
    </row>
    <row r="71" spans="2:14" ht="15" customHeight="1" x14ac:dyDescent="0.3">
      <c r="B71" s="90" t="s">
        <v>184</v>
      </c>
      <c r="C71" s="91" t="s">
        <v>185</v>
      </c>
      <c r="D71" s="56"/>
      <c r="E71" s="53"/>
      <c r="F71" s="11"/>
      <c r="G71" s="47">
        <f t="shared" si="8"/>
        <v>190.67</v>
      </c>
      <c r="H71" s="106"/>
      <c r="I71" s="9">
        <f t="shared" si="2"/>
        <v>0</v>
      </c>
      <c r="J71" s="9"/>
      <c r="K71" s="9">
        <f t="shared" si="3"/>
        <v>0</v>
      </c>
      <c r="N71">
        <v>401.4</v>
      </c>
    </row>
    <row r="72" spans="2:14" ht="15" customHeight="1" x14ac:dyDescent="0.3">
      <c r="B72" s="90" t="s">
        <v>186</v>
      </c>
      <c r="C72" s="91" t="s">
        <v>187</v>
      </c>
      <c r="D72" s="56"/>
      <c r="E72" s="53"/>
      <c r="F72" s="11"/>
      <c r="G72" s="47">
        <f t="shared" si="8"/>
        <v>2367.42</v>
      </c>
      <c r="H72" s="106"/>
      <c r="I72" s="9">
        <f t="shared" si="2"/>
        <v>0</v>
      </c>
      <c r="J72" s="9"/>
      <c r="K72" s="9">
        <f t="shared" si="3"/>
        <v>0</v>
      </c>
      <c r="N72">
        <v>4984.05</v>
      </c>
    </row>
    <row r="73" spans="2:14" ht="15" customHeight="1" x14ac:dyDescent="0.3">
      <c r="B73" s="102" t="s">
        <v>188</v>
      </c>
      <c r="C73" s="103" t="s">
        <v>189</v>
      </c>
      <c r="D73" s="56"/>
      <c r="E73" s="53"/>
      <c r="F73" s="11"/>
      <c r="G73" s="47">
        <f t="shared" si="8"/>
        <v>0</v>
      </c>
      <c r="H73" s="106"/>
      <c r="I73" s="9"/>
      <c r="J73" s="9"/>
      <c r="K73" s="9"/>
    </row>
    <row r="74" spans="2:14" ht="15" customHeight="1" x14ac:dyDescent="0.3">
      <c r="B74" s="90" t="s">
        <v>190</v>
      </c>
      <c r="C74" s="91" t="s">
        <v>191</v>
      </c>
      <c r="D74" s="56"/>
      <c r="E74" s="53"/>
      <c r="F74" s="11"/>
      <c r="G74" s="47">
        <f t="shared" si="8"/>
        <v>222.59</v>
      </c>
      <c r="H74" s="106"/>
      <c r="I74" s="9">
        <f t="shared" si="2"/>
        <v>0</v>
      </c>
      <c r="J74" s="9"/>
      <c r="K74" s="9">
        <f t="shared" si="3"/>
        <v>0</v>
      </c>
      <c r="N74">
        <v>468.6</v>
      </c>
    </row>
    <row r="75" spans="2:14" ht="15" customHeight="1" x14ac:dyDescent="0.3">
      <c r="B75" s="90" t="s">
        <v>192</v>
      </c>
      <c r="C75" s="91" t="s">
        <v>193</v>
      </c>
      <c r="D75" s="56"/>
      <c r="E75" s="53"/>
      <c r="F75" s="11"/>
      <c r="G75" s="47">
        <f t="shared" si="8"/>
        <v>183.08</v>
      </c>
      <c r="H75" s="106"/>
      <c r="I75" s="9">
        <f t="shared" si="2"/>
        <v>0</v>
      </c>
      <c r="J75" s="9"/>
      <c r="K75" s="9">
        <f t="shared" si="3"/>
        <v>0</v>
      </c>
      <c r="N75">
        <v>385.44</v>
      </c>
    </row>
    <row r="76" spans="2:14" ht="15" customHeight="1" x14ac:dyDescent="0.3">
      <c r="B76" s="92"/>
      <c r="C76" s="93"/>
      <c r="D76" s="75"/>
      <c r="E76" s="76"/>
      <c r="F76" s="77"/>
      <c r="G76" s="78"/>
      <c r="H76" s="8"/>
      <c r="I76" s="9"/>
      <c r="J76" s="9"/>
      <c r="K76" s="9"/>
    </row>
    <row r="77" spans="2:14" ht="15" customHeight="1" x14ac:dyDescent="0.3">
      <c r="B77" s="94"/>
      <c r="C77" s="95" t="s">
        <v>194</v>
      </c>
      <c r="D77" s="58"/>
      <c r="E77" s="59"/>
      <c r="F77" s="60"/>
      <c r="G77" s="107">
        <f>SUM(G51:G75)</f>
        <v>23457.98</v>
      </c>
      <c r="H77" s="8"/>
      <c r="I77" s="9"/>
      <c r="J77" s="9"/>
      <c r="K77" s="9"/>
      <c r="N77">
        <v>49385.210000000014</v>
      </c>
    </row>
    <row r="78" spans="2:14" ht="15" customHeight="1" x14ac:dyDescent="0.3">
      <c r="B78" s="96"/>
      <c r="C78" s="97"/>
      <c r="D78" s="58"/>
      <c r="E78" s="59"/>
      <c r="F78" s="60"/>
      <c r="G78" s="61"/>
      <c r="H78" s="8"/>
      <c r="I78" s="9"/>
      <c r="J78" s="9"/>
      <c r="K78" s="9"/>
    </row>
    <row r="79" spans="2:14" ht="15" customHeight="1" x14ac:dyDescent="0.3">
      <c r="B79" s="86" t="s">
        <v>195</v>
      </c>
      <c r="C79" s="87" t="s">
        <v>196</v>
      </c>
      <c r="D79" s="58"/>
      <c r="E79" s="59"/>
      <c r="F79" s="60"/>
      <c r="G79" s="61"/>
      <c r="H79" s="8"/>
      <c r="I79" s="9"/>
      <c r="J79" s="9"/>
      <c r="K79" s="9"/>
    </row>
    <row r="80" spans="2:14" ht="15" customHeight="1" x14ac:dyDescent="0.3">
      <c r="B80" s="98" t="s">
        <v>197</v>
      </c>
      <c r="C80" s="99" t="s">
        <v>198</v>
      </c>
      <c r="D80" s="58"/>
      <c r="E80" s="59"/>
      <c r="F80" s="60"/>
      <c r="G80" s="61"/>
      <c r="H80" s="8"/>
      <c r="I80" s="9"/>
      <c r="J80" s="9"/>
      <c r="K80" s="9"/>
    </row>
    <row r="81" spans="2:14" ht="15" customHeight="1" x14ac:dyDescent="0.3">
      <c r="B81" s="90" t="s">
        <v>199</v>
      </c>
      <c r="C81" s="91" t="s">
        <v>200</v>
      </c>
      <c r="D81" s="58"/>
      <c r="E81" s="59"/>
      <c r="F81" s="60"/>
      <c r="G81" s="47">
        <f t="shared" ref="G81:G119" si="9">+ROUND(N81*0.475,2)</f>
        <v>7471.72</v>
      </c>
      <c r="H81" s="8"/>
      <c r="I81" s="9">
        <f t="shared" si="2"/>
        <v>0</v>
      </c>
      <c r="J81" s="9"/>
      <c r="K81" s="9">
        <f t="shared" si="3"/>
        <v>0</v>
      </c>
      <c r="N81">
        <v>15729.93</v>
      </c>
    </row>
    <row r="82" spans="2:14" ht="15" customHeight="1" x14ac:dyDescent="0.3">
      <c r="B82" s="90" t="s">
        <v>201</v>
      </c>
      <c r="C82" s="91" t="s">
        <v>155</v>
      </c>
      <c r="D82" s="58"/>
      <c r="E82" s="59"/>
      <c r="F82" s="60"/>
      <c r="G82" s="47">
        <f t="shared" si="9"/>
        <v>2176.39</v>
      </c>
      <c r="H82" s="8"/>
      <c r="I82" s="9">
        <f t="shared" si="2"/>
        <v>0</v>
      </c>
      <c r="J82" s="9"/>
      <c r="K82" s="9">
        <f t="shared" si="3"/>
        <v>0</v>
      </c>
      <c r="N82">
        <v>4581.88</v>
      </c>
    </row>
    <row r="83" spans="2:14" ht="15" customHeight="1" x14ac:dyDescent="0.3">
      <c r="B83" s="90" t="s">
        <v>202</v>
      </c>
      <c r="C83" s="91" t="s">
        <v>157</v>
      </c>
      <c r="D83" s="58"/>
      <c r="E83" s="59"/>
      <c r="F83" s="60"/>
      <c r="G83" s="47">
        <f t="shared" si="9"/>
        <v>1107.54</v>
      </c>
      <c r="H83" s="8"/>
      <c r="I83" s="9">
        <f t="shared" si="2"/>
        <v>0</v>
      </c>
      <c r="J83" s="9"/>
      <c r="K83" s="9">
        <f t="shared" si="3"/>
        <v>0</v>
      </c>
      <c r="N83">
        <v>2331.66</v>
      </c>
    </row>
    <row r="84" spans="2:14" ht="15" customHeight="1" x14ac:dyDescent="0.3">
      <c r="B84" s="90" t="s">
        <v>203</v>
      </c>
      <c r="C84" s="91" t="s">
        <v>204</v>
      </c>
      <c r="D84" s="58"/>
      <c r="E84" s="59"/>
      <c r="F84" s="60"/>
      <c r="G84" s="47">
        <f t="shared" si="9"/>
        <v>4205.29</v>
      </c>
      <c r="H84" s="8"/>
      <c r="I84" s="9">
        <f t="shared" si="2"/>
        <v>0</v>
      </c>
      <c r="J84" s="9"/>
      <c r="K84" s="9">
        <f t="shared" si="3"/>
        <v>0</v>
      </c>
      <c r="N84">
        <v>8853.25</v>
      </c>
    </row>
    <row r="85" spans="2:14" ht="15" customHeight="1" x14ac:dyDescent="0.3">
      <c r="B85" s="100" t="s">
        <v>205</v>
      </c>
      <c r="C85" s="101" t="s">
        <v>206</v>
      </c>
      <c r="D85" s="58"/>
      <c r="E85" s="59"/>
      <c r="F85" s="60"/>
      <c r="G85" s="47">
        <f t="shared" si="9"/>
        <v>0</v>
      </c>
      <c r="H85" s="8"/>
      <c r="I85" s="9"/>
      <c r="J85" s="9"/>
      <c r="K85" s="9"/>
    </row>
    <row r="86" spans="2:14" ht="15" customHeight="1" x14ac:dyDescent="0.3">
      <c r="B86" s="90" t="s">
        <v>207</v>
      </c>
      <c r="C86" s="91" t="s">
        <v>208</v>
      </c>
      <c r="D86" s="58"/>
      <c r="E86" s="59"/>
      <c r="F86" s="60"/>
      <c r="G86" s="47">
        <f t="shared" si="9"/>
        <v>4662.74</v>
      </c>
      <c r="H86" s="8"/>
      <c r="I86" s="9">
        <f t="shared" si="2"/>
        <v>0</v>
      </c>
      <c r="J86" s="9"/>
      <c r="K86" s="9">
        <f t="shared" si="3"/>
        <v>0</v>
      </c>
      <c r="N86">
        <v>9816.2900000000009</v>
      </c>
    </row>
    <row r="87" spans="2:14" ht="15" customHeight="1" x14ac:dyDescent="0.3">
      <c r="B87" s="100" t="s">
        <v>209</v>
      </c>
      <c r="C87" s="101" t="s">
        <v>210</v>
      </c>
      <c r="D87" s="58"/>
      <c r="E87" s="59"/>
      <c r="F87" s="60"/>
      <c r="G87" s="47">
        <f t="shared" si="9"/>
        <v>0</v>
      </c>
      <c r="H87" s="8"/>
      <c r="I87" s="9"/>
      <c r="J87" s="9"/>
      <c r="K87" s="9"/>
    </row>
    <row r="88" spans="2:14" ht="15" customHeight="1" x14ac:dyDescent="0.3">
      <c r="B88" s="90" t="s">
        <v>211</v>
      </c>
      <c r="C88" s="91" t="s">
        <v>200</v>
      </c>
      <c r="D88" s="58"/>
      <c r="E88" s="59"/>
      <c r="F88" s="60"/>
      <c r="G88" s="47">
        <f t="shared" si="9"/>
        <v>1980.47</v>
      </c>
      <c r="H88" s="8"/>
      <c r="I88" s="9">
        <f t="shared" si="2"/>
        <v>0</v>
      </c>
      <c r="J88" s="9"/>
      <c r="K88" s="9">
        <f t="shared" si="3"/>
        <v>0</v>
      </c>
      <c r="N88">
        <v>4169.41</v>
      </c>
    </row>
    <row r="89" spans="2:14" ht="15" customHeight="1" x14ac:dyDescent="0.3">
      <c r="B89" s="90" t="s">
        <v>212</v>
      </c>
      <c r="C89" s="91" t="s">
        <v>155</v>
      </c>
      <c r="D89" s="58"/>
      <c r="E89" s="59"/>
      <c r="F89" s="60"/>
      <c r="G89" s="47">
        <f t="shared" si="9"/>
        <v>396.08</v>
      </c>
      <c r="H89" s="8"/>
      <c r="I89" s="9">
        <f t="shared" si="2"/>
        <v>0</v>
      </c>
      <c r="J89" s="9"/>
      <c r="K89" s="9">
        <f t="shared" si="3"/>
        <v>0</v>
      </c>
      <c r="N89">
        <v>833.85</v>
      </c>
    </row>
    <row r="90" spans="2:14" ht="15" customHeight="1" x14ac:dyDescent="0.3">
      <c r="B90" s="90" t="s">
        <v>213</v>
      </c>
      <c r="C90" s="91" t="s">
        <v>157</v>
      </c>
      <c r="D90" s="58"/>
      <c r="E90" s="59"/>
      <c r="F90" s="60"/>
      <c r="G90" s="47">
        <f t="shared" si="9"/>
        <v>335.92</v>
      </c>
      <c r="H90" s="8"/>
      <c r="I90" s="9">
        <f t="shared" si="2"/>
        <v>0</v>
      </c>
      <c r="J90" s="9"/>
      <c r="K90" s="9">
        <f t="shared" si="3"/>
        <v>0</v>
      </c>
      <c r="N90">
        <v>707.2</v>
      </c>
    </row>
    <row r="91" spans="2:14" ht="15" customHeight="1" x14ac:dyDescent="0.3">
      <c r="B91" s="90" t="s">
        <v>214</v>
      </c>
      <c r="C91" s="91" t="s">
        <v>215</v>
      </c>
      <c r="D91" s="58"/>
      <c r="E91" s="59"/>
      <c r="F91" s="60"/>
      <c r="G91" s="47">
        <f t="shared" si="9"/>
        <v>1257.6400000000001</v>
      </c>
      <c r="H91" s="8"/>
      <c r="I91" s="9">
        <f t="shared" si="2"/>
        <v>0</v>
      </c>
      <c r="J91" s="9"/>
      <c r="K91" s="9">
        <f t="shared" si="3"/>
        <v>0</v>
      </c>
      <c r="N91">
        <v>2647.67</v>
      </c>
    </row>
    <row r="92" spans="2:14" ht="15" customHeight="1" x14ac:dyDescent="0.3">
      <c r="B92" s="100" t="s">
        <v>216</v>
      </c>
      <c r="C92" s="101" t="s">
        <v>217</v>
      </c>
      <c r="D92" s="58"/>
      <c r="E92" s="59"/>
      <c r="F92" s="60"/>
      <c r="G92" s="47">
        <f t="shared" si="9"/>
        <v>0</v>
      </c>
      <c r="H92" s="8"/>
      <c r="I92" s="9"/>
      <c r="J92" s="9"/>
      <c r="K92" s="9"/>
    </row>
    <row r="93" spans="2:14" ht="15" customHeight="1" x14ac:dyDescent="0.3">
      <c r="B93" s="90" t="s">
        <v>218</v>
      </c>
      <c r="C93" s="91" t="s">
        <v>200</v>
      </c>
      <c r="D93" s="58"/>
      <c r="E93" s="59"/>
      <c r="F93" s="60"/>
      <c r="G93" s="47">
        <f t="shared" si="9"/>
        <v>135.97</v>
      </c>
      <c r="H93" s="8"/>
      <c r="I93" s="9">
        <f t="shared" si="2"/>
        <v>0</v>
      </c>
      <c r="J93" s="9"/>
      <c r="K93" s="9">
        <f t="shared" si="3"/>
        <v>0</v>
      </c>
      <c r="N93">
        <v>286.26</v>
      </c>
    </row>
    <row r="94" spans="2:14" ht="15" customHeight="1" x14ac:dyDescent="0.3">
      <c r="B94" s="90" t="s">
        <v>219</v>
      </c>
      <c r="C94" s="91" t="s">
        <v>157</v>
      </c>
      <c r="D94" s="58"/>
      <c r="E94" s="59"/>
      <c r="F94" s="60"/>
      <c r="G94" s="47">
        <f t="shared" si="9"/>
        <v>276.7</v>
      </c>
      <c r="H94" s="8"/>
      <c r="I94" s="9">
        <f t="shared" si="2"/>
        <v>0</v>
      </c>
      <c r="J94" s="9"/>
      <c r="K94" s="9">
        <f t="shared" si="3"/>
        <v>0</v>
      </c>
      <c r="N94">
        <v>582.52</v>
      </c>
    </row>
    <row r="95" spans="2:14" ht="15" customHeight="1" x14ac:dyDescent="0.3">
      <c r="B95" s="90" t="s">
        <v>220</v>
      </c>
      <c r="C95" s="91" t="s">
        <v>221</v>
      </c>
      <c r="D95" s="58"/>
      <c r="E95" s="59"/>
      <c r="F95" s="60"/>
      <c r="G95" s="47">
        <f t="shared" si="9"/>
        <v>43.67</v>
      </c>
      <c r="H95" s="8"/>
      <c r="I95" s="9">
        <f t="shared" si="2"/>
        <v>0</v>
      </c>
      <c r="J95" s="9"/>
      <c r="K95" s="9">
        <f t="shared" si="3"/>
        <v>0</v>
      </c>
      <c r="N95">
        <v>91.93</v>
      </c>
    </row>
    <row r="96" spans="2:14" ht="15" customHeight="1" x14ac:dyDescent="0.3">
      <c r="B96" s="100" t="s">
        <v>222</v>
      </c>
      <c r="C96" s="101" t="s">
        <v>223</v>
      </c>
      <c r="D96" s="58"/>
      <c r="E96" s="59"/>
      <c r="F96" s="60"/>
      <c r="G96" s="47">
        <f t="shared" si="9"/>
        <v>0</v>
      </c>
      <c r="H96" s="8"/>
      <c r="I96" s="9"/>
      <c r="J96" s="9"/>
      <c r="K96" s="9"/>
    </row>
    <row r="97" spans="2:14" ht="15" customHeight="1" x14ac:dyDescent="0.3">
      <c r="B97" s="90" t="s">
        <v>224</v>
      </c>
      <c r="C97" s="91" t="s">
        <v>200</v>
      </c>
      <c r="D97" s="58"/>
      <c r="E97" s="59"/>
      <c r="F97" s="60"/>
      <c r="G97" s="47">
        <f t="shared" si="9"/>
        <v>980.26</v>
      </c>
      <c r="H97" s="8"/>
      <c r="I97" s="9">
        <f t="shared" si="2"/>
        <v>0</v>
      </c>
      <c r="J97" s="9"/>
      <c r="K97" s="9">
        <f t="shared" si="3"/>
        <v>0</v>
      </c>
      <c r="N97">
        <v>2063.71</v>
      </c>
    </row>
    <row r="98" spans="2:14" ht="15" customHeight="1" x14ac:dyDescent="0.3">
      <c r="B98" s="90" t="s">
        <v>225</v>
      </c>
      <c r="C98" s="91" t="s">
        <v>157</v>
      </c>
      <c r="D98" s="58"/>
      <c r="E98" s="59"/>
      <c r="F98" s="60"/>
      <c r="G98" s="47">
        <f t="shared" si="9"/>
        <v>1884.64</v>
      </c>
      <c r="H98" s="8"/>
      <c r="I98" s="9">
        <f t="shared" si="2"/>
        <v>0</v>
      </c>
      <c r="J98" s="9"/>
      <c r="K98" s="9">
        <f t="shared" si="3"/>
        <v>0</v>
      </c>
      <c r="N98">
        <v>3967.66</v>
      </c>
    </row>
    <row r="99" spans="2:14" ht="15" customHeight="1" x14ac:dyDescent="0.3">
      <c r="B99" s="90" t="s">
        <v>226</v>
      </c>
      <c r="C99" s="91" t="s">
        <v>227</v>
      </c>
      <c r="D99" s="58"/>
      <c r="E99" s="59"/>
      <c r="F99" s="60"/>
      <c r="G99" s="47">
        <f t="shared" si="9"/>
        <v>577.11</v>
      </c>
      <c r="H99" s="8"/>
      <c r="I99" s="9">
        <f t="shared" si="2"/>
        <v>0</v>
      </c>
      <c r="J99" s="9"/>
      <c r="K99" s="9">
        <f t="shared" si="3"/>
        <v>0</v>
      </c>
      <c r="N99">
        <v>1214.96</v>
      </c>
    </row>
    <row r="100" spans="2:14" ht="15" customHeight="1" x14ac:dyDescent="0.3">
      <c r="B100" s="100" t="s">
        <v>228</v>
      </c>
      <c r="C100" s="101" t="s">
        <v>229</v>
      </c>
      <c r="D100" s="58"/>
      <c r="E100" s="59"/>
      <c r="F100" s="60"/>
      <c r="G100" s="47">
        <f t="shared" si="9"/>
        <v>0</v>
      </c>
      <c r="H100" s="8"/>
      <c r="I100" s="9"/>
      <c r="J100" s="9"/>
      <c r="K100" s="9"/>
    </row>
    <row r="101" spans="2:14" ht="15" customHeight="1" x14ac:dyDescent="0.3">
      <c r="B101" s="90" t="s">
        <v>230</v>
      </c>
      <c r="C101" s="91" t="s">
        <v>200</v>
      </c>
      <c r="D101" s="58"/>
      <c r="E101" s="59"/>
      <c r="F101" s="60"/>
      <c r="G101" s="47">
        <f t="shared" si="9"/>
        <v>2899.89</v>
      </c>
      <c r="H101" s="8"/>
      <c r="I101" s="9">
        <f t="shared" si="2"/>
        <v>0</v>
      </c>
      <c r="J101" s="9"/>
      <c r="K101" s="9">
        <f t="shared" si="3"/>
        <v>0</v>
      </c>
      <c r="N101">
        <v>6105.03</v>
      </c>
    </row>
    <row r="102" spans="2:14" ht="15" customHeight="1" x14ac:dyDescent="0.3">
      <c r="B102" s="90" t="s">
        <v>231</v>
      </c>
      <c r="C102" s="91" t="s">
        <v>155</v>
      </c>
      <c r="D102" s="58"/>
      <c r="E102" s="59"/>
      <c r="F102" s="60"/>
      <c r="G102" s="47">
        <f t="shared" si="9"/>
        <v>1793.47</v>
      </c>
      <c r="H102" s="8"/>
      <c r="I102" s="9">
        <f t="shared" si="2"/>
        <v>0</v>
      </c>
      <c r="J102" s="9"/>
      <c r="K102" s="9">
        <f t="shared" si="3"/>
        <v>0</v>
      </c>
      <c r="N102">
        <v>3775.73</v>
      </c>
    </row>
    <row r="103" spans="2:14" ht="15" customHeight="1" x14ac:dyDescent="0.3">
      <c r="B103" s="90" t="s">
        <v>232</v>
      </c>
      <c r="C103" s="91" t="s">
        <v>157</v>
      </c>
      <c r="D103" s="58"/>
      <c r="E103" s="59"/>
      <c r="F103" s="60"/>
      <c r="G103" s="47">
        <f t="shared" si="9"/>
        <v>507.06</v>
      </c>
      <c r="H103" s="8"/>
      <c r="I103" s="9">
        <f t="shared" ref="I103:I166" si="10">ROUND(H103*G103,2)</f>
        <v>0</v>
      </c>
      <c r="J103" s="9"/>
      <c r="K103" s="9">
        <f t="shared" ref="K103:K166" si="11">ROUND(I103-J103,2)</f>
        <v>0</v>
      </c>
      <c r="N103">
        <v>1067.5</v>
      </c>
    </row>
    <row r="104" spans="2:14" ht="15" customHeight="1" x14ac:dyDescent="0.3">
      <c r="B104" s="90" t="s">
        <v>233</v>
      </c>
      <c r="C104" s="91" t="s">
        <v>234</v>
      </c>
      <c r="D104" s="58"/>
      <c r="E104" s="59"/>
      <c r="F104" s="60"/>
      <c r="G104" s="47">
        <f t="shared" si="9"/>
        <v>4334.01</v>
      </c>
      <c r="H104" s="8"/>
      <c r="I104" s="9">
        <f t="shared" si="10"/>
        <v>0</v>
      </c>
      <c r="J104" s="9"/>
      <c r="K104" s="9">
        <f t="shared" si="11"/>
        <v>0</v>
      </c>
      <c r="N104">
        <v>9124.24</v>
      </c>
    </row>
    <row r="105" spans="2:14" ht="15" customHeight="1" x14ac:dyDescent="0.3">
      <c r="B105" s="100" t="s">
        <v>235</v>
      </c>
      <c r="C105" s="101" t="s">
        <v>236</v>
      </c>
      <c r="D105" s="58"/>
      <c r="E105" s="59"/>
      <c r="F105" s="60"/>
      <c r="G105" s="47">
        <f t="shared" si="9"/>
        <v>0</v>
      </c>
      <c r="H105" s="8"/>
      <c r="I105" s="9"/>
      <c r="J105" s="9"/>
      <c r="K105" s="9"/>
    </row>
    <row r="106" spans="2:14" ht="15" customHeight="1" x14ac:dyDescent="0.3">
      <c r="B106" s="102" t="s">
        <v>237</v>
      </c>
      <c r="C106" s="103" t="s">
        <v>238</v>
      </c>
      <c r="D106" s="58"/>
      <c r="E106" s="59"/>
      <c r="F106" s="60"/>
      <c r="G106" s="47">
        <f t="shared" si="9"/>
        <v>0</v>
      </c>
      <c r="H106" s="8"/>
      <c r="I106" s="9"/>
      <c r="J106" s="9"/>
      <c r="K106" s="9"/>
    </row>
    <row r="107" spans="2:14" ht="15" customHeight="1" x14ac:dyDescent="0.3">
      <c r="B107" s="90" t="s">
        <v>239</v>
      </c>
      <c r="C107" s="91" t="s">
        <v>240</v>
      </c>
      <c r="D107" s="58"/>
      <c r="E107" s="59"/>
      <c r="F107" s="60"/>
      <c r="G107" s="47">
        <f t="shared" si="9"/>
        <v>300.42</v>
      </c>
      <c r="H107" s="8"/>
      <c r="I107" s="9">
        <f t="shared" si="10"/>
        <v>0</v>
      </c>
      <c r="J107" s="9"/>
      <c r="K107" s="9">
        <f t="shared" si="11"/>
        <v>0</v>
      </c>
      <c r="N107">
        <v>632.46</v>
      </c>
    </row>
    <row r="108" spans="2:14" ht="15" customHeight="1" x14ac:dyDescent="0.3">
      <c r="B108" s="90" t="s">
        <v>241</v>
      </c>
      <c r="C108" s="91" t="s">
        <v>242</v>
      </c>
      <c r="D108" s="58"/>
      <c r="E108" s="59"/>
      <c r="F108" s="60"/>
      <c r="G108" s="47">
        <f t="shared" si="9"/>
        <v>1904.55</v>
      </c>
      <c r="H108" s="8"/>
      <c r="I108" s="9">
        <f t="shared" si="10"/>
        <v>0</v>
      </c>
      <c r="J108" s="9"/>
      <c r="K108" s="9">
        <f t="shared" si="11"/>
        <v>0</v>
      </c>
      <c r="N108">
        <v>4009.57</v>
      </c>
    </row>
    <row r="109" spans="2:14" ht="15" customHeight="1" x14ac:dyDescent="0.3">
      <c r="B109" s="102" t="s">
        <v>243</v>
      </c>
      <c r="C109" s="103" t="s">
        <v>244</v>
      </c>
      <c r="D109" s="58"/>
      <c r="E109" s="59"/>
      <c r="F109" s="60"/>
      <c r="G109" s="47">
        <f t="shared" si="9"/>
        <v>0</v>
      </c>
      <c r="H109" s="8"/>
      <c r="I109" s="9"/>
      <c r="J109" s="9"/>
      <c r="K109" s="9"/>
    </row>
    <row r="110" spans="2:14" ht="15" customHeight="1" x14ac:dyDescent="0.3">
      <c r="B110" s="90" t="s">
        <v>245</v>
      </c>
      <c r="C110" s="91" t="s">
        <v>246</v>
      </c>
      <c r="D110" s="58"/>
      <c r="E110" s="59"/>
      <c r="F110" s="60"/>
      <c r="G110" s="47">
        <f t="shared" si="9"/>
        <v>2992.36</v>
      </c>
      <c r="H110" s="8"/>
      <c r="I110" s="9">
        <f t="shared" si="10"/>
        <v>0</v>
      </c>
      <c r="J110" s="9"/>
      <c r="K110" s="9">
        <f t="shared" si="11"/>
        <v>0</v>
      </c>
      <c r="N110">
        <v>6299.7</v>
      </c>
    </row>
    <row r="111" spans="2:14" ht="15" customHeight="1" x14ac:dyDescent="0.3">
      <c r="B111" s="102" t="s">
        <v>247</v>
      </c>
      <c r="C111" s="103" t="s">
        <v>248</v>
      </c>
      <c r="D111" s="58"/>
      <c r="E111" s="59"/>
      <c r="F111" s="60"/>
      <c r="G111" s="47">
        <f t="shared" si="9"/>
        <v>0</v>
      </c>
      <c r="H111" s="8"/>
      <c r="I111" s="9"/>
      <c r="J111" s="9"/>
      <c r="K111" s="9"/>
    </row>
    <row r="112" spans="2:14" ht="15" customHeight="1" x14ac:dyDescent="0.3">
      <c r="B112" s="90" t="s">
        <v>249</v>
      </c>
      <c r="C112" s="91" t="s">
        <v>250</v>
      </c>
      <c r="D112" s="58"/>
      <c r="E112" s="59"/>
      <c r="F112" s="60"/>
      <c r="G112" s="47">
        <f t="shared" si="9"/>
        <v>1535.6</v>
      </c>
      <c r="H112" s="8"/>
      <c r="I112" s="9">
        <f t="shared" si="10"/>
        <v>0</v>
      </c>
      <c r="J112" s="9"/>
      <c r="K112" s="9">
        <f t="shared" si="11"/>
        <v>0</v>
      </c>
      <c r="N112">
        <v>3232.85</v>
      </c>
    </row>
    <row r="113" spans="2:14" ht="15" customHeight="1" x14ac:dyDescent="0.3">
      <c r="B113" s="90" t="s">
        <v>251</v>
      </c>
      <c r="C113" s="91" t="s">
        <v>252</v>
      </c>
      <c r="D113" s="58"/>
      <c r="E113" s="59"/>
      <c r="F113" s="60"/>
      <c r="G113" s="47">
        <f t="shared" si="9"/>
        <v>1711.4</v>
      </c>
      <c r="H113" s="8"/>
      <c r="I113" s="9">
        <f t="shared" si="10"/>
        <v>0</v>
      </c>
      <c r="J113" s="9"/>
      <c r="K113" s="9">
        <f t="shared" si="11"/>
        <v>0</v>
      </c>
      <c r="N113">
        <v>3602.94</v>
      </c>
    </row>
    <row r="114" spans="2:14" ht="15" customHeight="1" x14ac:dyDescent="0.3">
      <c r="B114" s="102" t="s">
        <v>253</v>
      </c>
      <c r="C114" s="103" t="s">
        <v>254</v>
      </c>
      <c r="D114" s="58"/>
      <c r="E114" s="59"/>
      <c r="F114" s="60"/>
      <c r="G114" s="47">
        <f t="shared" si="9"/>
        <v>0</v>
      </c>
      <c r="H114" s="8"/>
      <c r="I114" s="9"/>
      <c r="J114" s="9"/>
      <c r="K114" s="9"/>
    </row>
    <row r="115" spans="2:14" ht="15" customHeight="1" x14ac:dyDescent="0.3">
      <c r="B115" s="90" t="s">
        <v>255</v>
      </c>
      <c r="C115" s="91" t="s">
        <v>256</v>
      </c>
      <c r="D115" s="58"/>
      <c r="E115" s="59"/>
      <c r="F115" s="60"/>
      <c r="G115" s="47">
        <f t="shared" si="9"/>
        <v>637.01</v>
      </c>
      <c r="H115" s="8"/>
      <c r="I115" s="9">
        <f t="shared" si="10"/>
        <v>0</v>
      </c>
      <c r="J115" s="9"/>
      <c r="K115" s="9">
        <f t="shared" si="11"/>
        <v>0</v>
      </c>
      <c r="N115">
        <v>1341.07</v>
      </c>
    </row>
    <row r="116" spans="2:14" ht="15" customHeight="1" x14ac:dyDescent="0.3">
      <c r="B116" s="102" t="s">
        <v>257</v>
      </c>
      <c r="C116" s="103" t="s">
        <v>258</v>
      </c>
      <c r="D116" s="58"/>
      <c r="E116" s="59"/>
      <c r="F116" s="60"/>
      <c r="G116" s="47">
        <f t="shared" si="9"/>
        <v>0</v>
      </c>
      <c r="H116" s="8"/>
      <c r="I116" s="9"/>
      <c r="J116" s="9"/>
      <c r="K116" s="9"/>
    </row>
    <row r="117" spans="2:14" ht="15" customHeight="1" x14ac:dyDescent="0.3">
      <c r="B117" s="90" t="s">
        <v>259</v>
      </c>
      <c r="C117" s="91" t="s">
        <v>260</v>
      </c>
      <c r="D117" s="58"/>
      <c r="E117" s="59"/>
      <c r="F117" s="60"/>
      <c r="G117" s="47">
        <f t="shared" si="9"/>
        <v>324.79000000000002</v>
      </c>
      <c r="H117" s="8"/>
      <c r="I117" s="9">
        <f t="shared" si="10"/>
        <v>0</v>
      </c>
      <c r="J117" s="9"/>
      <c r="K117" s="9">
        <f t="shared" si="11"/>
        <v>0</v>
      </c>
      <c r="N117">
        <v>683.76</v>
      </c>
    </row>
    <row r="118" spans="2:14" ht="15" customHeight="1" x14ac:dyDescent="0.3">
      <c r="B118" s="102" t="s">
        <v>261</v>
      </c>
      <c r="C118" s="103" t="s">
        <v>73</v>
      </c>
      <c r="D118" s="58"/>
      <c r="E118" s="59"/>
      <c r="F118" s="60"/>
      <c r="G118" s="47">
        <f t="shared" si="9"/>
        <v>0</v>
      </c>
      <c r="H118" s="8"/>
      <c r="I118" s="9"/>
      <c r="J118" s="9"/>
      <c r="K118" s="9"/>
    </row>
    <row r="119" spans="2:14" ht="15" customHeight="1" x14ac:dyDescent="0.3">
      <c r="B119" s="90" t="s">
        <v>262</v>
      </c>
      <c r="C119" s="91" t="s">
        <v>263</v>
      </c>
      <c r="D119" s="58"/>
      <c r="E119" s="59"/>
      <c r="F119" s="60"/>
      <c r="G119" s="47">
        <f t="shared" si="9"/>
        <v>91.54</v>
      </c>
      <c r="H119" s="8"/>
      <c r="I119" s="9">
        <f t="shared" si="10"/>
        <v>0</v>
      </c>
      <c r="J119" s="9"/>
      <c r="K119" s="9">
        <f t="shared" si="11"/>
        <v>0</v>
      </c>
      <c r="N119">
        <v>192.72</v>
      </c>
    </row>
    <row r="120" spans="2:14" ht="15" customHeight="1" x14ac:dyDescent="0.3">
      <c r="B120" s="92"/>
      <c r="C120" s="93"/>
      <c r="D120" s="58"/>
      <c r="E120" s="59"/>
      <c r="F120" s="60"/>
      <c r="G120" s="61"/>
      <c r="H120" s="8"/>
      <c r="I120" s="9"/>
      <c r="J120" s="9"/>
      <c r="K120" s="9"/>
    </row>
    <row r="121" spans="2:14" ht="15" customHeight="1" x14ac:dyDescent="0.3">
      <c r="B121" s="94"/>
      <c r="C121" s="95" t="s">
        <v>264</v>
      </c>
      <c r="D121" s="58"/>
      <c r="E121" s="59"/>
      <c r="F121" s="60"/>
      <c r="G121" s="107">
        <f>SUM(G81:G119)</f>
        <v>46524.240000000005</v>
      </c>
      <c r="H121" s="8"/>
      <c r="I121" s="9"/>
      <c r="J121" s="9"/>
      <c r="K121" s="9"/>
      <c r="N121">
        <v>97945.750000000015</v>
      </c>
    </row>
    <row r="122" spans="2:14" ht="15" customHeight="1" x14ac:dyDescent="0.3">
      <c r="B122" s="96"/>
      <c r="C122" s="97"/>
      <c r="D122" s="58"/>
      <c r="E122" s="59"/>
      <c r="F122" s="60"/>
      <c r="G122" s="61"/>
      <c r="H122" s="8"/>
      <c r="I122" s="9"/>
      <c r="J122" s="9"/>
      <c r="K122" s="9"/>
    </row>
    <row r="123" spans="2:14" ht="15" customHeight="1" x14ac:dyDescent="0.3">
      <c r="B123" s="86" t="s">
        <v>265</v>
      </c>
      <c r="C123" s="87" t="s">
        <v>266</v>
      </c>
      <c r="D123" s="58"/>
      <c r="E123" s="59"/>
      <c r="F123" s="60"/>
      <c r="G123" s="61"/>
      <c r="H123" s="8"/>
      <c r="I123" s="9"/>
      <c r="J123" s="9"/>
      <c r="K123" s="9"/>
    </row>
    <row r="124" spans="2:14" ht="15" customHeight="1" x14ac:dyDescent="0.3">
      <c r="B124" s="98" t="s">
        <v>267</v>
      </c>
      <c r="C124" s="99" t="s">
        <v>268</v>
      </c>
      <c r="D124" s="58"/>
      <c r="E124" s="59"/>
      <c r="F124" s="60"/>
      <c r="G124" s="61"/>
      <c r="H124" s="8"/>
      <c r="I124" s="9"/>
      <c r="J124" s="9"/>
      <c r="K124" s="9"/>
    </row>
    <row r="125" spans="2:14" ht="15" customHeight="1" x14ac:dyDescent="0.3">
      <c r="B125" s="90" t="s">
        <v>269</v>
      </c>
      <c r="C125" s="91" t="s">
        <v>200</v>
      </c>
      <c r="D125" s="58"/>
      <c r="E125" s="59"/>
      <c r="F125" s="60"/>
      <c r="G125" s="47">
        <f t="shared" ref="G125:G188" si="12">+ROUND(N125*0.475,2)</f>
        <v>7300.34</v>
      </c>
      <c r="H125" s="8"/>
      <c r="I125" s="9">
        <f t="shared" si="10"/>
        <v>0</v>
      </c>
      <c r="J125" s="9"/>
      <c r="K125" s="9">
        <f t="shared" si="11"/>
        <v>0</v>
      </c>
      <c r="N125">
        <v>15369.14</v>
      </c>
    </row>
    <row r="126" spans="2:14" ht="15" customHeight="1" x14ac:dyDescent="0.3">
      <c r="B126" s="90" t="s">
        <v>270</v>
      </c>
      <c r="C126" s="91" t="s">
        <v>155</v>
      </c>
      <c r="D126" s="58"/>
      <c r="E126" s="59"/>
      <c r="F126" s="60"/>
      <c r="G126" s="47">
        <f t="shared" si="12"/>
        <v>1114.96</v>
      </c>
      <c r="H126" s="8"/>
      <c r="I126" s="9">
        <f t="shared" si="10"/>
        <v>0</v>
      </c>
      <c r="J126" s="9"/>
      <c r="K126" s="9">
        <f t="shared" si="11"/>
        <v>0</v>
      </c>
      <c r="N126">
        <v>2347.29</v>
      </c>
    </row>
    <row r="127" spans="2:14" ht="15" customHeight="1" x14ac:dyDescent="0.3">
      <c r="B127" s="90" t="s">
        <v>271</v>
      </c>
      <c r="C127" s="91" t="s">
        <v>157</v>
      </c>
      <c r="D127" s="58"/>
      <c r="E127" s="59"/>
      <c r="F127" s="60"/>
      <c r="G127" s="47">
        <f t="shared" si="12"/>
        <v>1427.08</v>
      </c>
      <c r="H127" s="8"/>
      <c r="I127" s="9">
        <f t="shared" si="10"/>
        <v>0</v>
      </c>
      <c r="J127" s="9"/>
      <c r="K127" s="9">
        <f t="shared" si="11"/>
        <v>0</v>
      </c>
      <c r="N127">
        <v>3004.38</v>
      </c>
    </row>
    <row r="128" spans="2:14" ht="15" customHeight="1" x14ac:dyDescent="0.3">
      <c r="B128" s="90" t="s">
        <v>272</v>
      </c>
      <c r="C128" s="91" t="s">
        <v>273</v>
      </c>
      <c r="D128" s="58"/>
      <c r="E128" s="59"/>
      <c r="F128" s="60"/>
      <c r="G128" s="47">
        <f t="shared" si="12"/>
        <v>2824.79</v>
      </c>
      <c r="H128" s="8"/>
      <c r="I128" s="9">
        <f t="shared" si="10"/>
        <v>0</v>
      </c>
      <c r="J128" s="9"/>
      <c r="K128" s="9">
        <f t="shared" si="11"/>
        <v>0</v>
      </c>
      <c r="N128">
        <v>5946.92</v>
      </c>
    </row>
    <row r="129" spans="2:14" ht="15" customHeight="1" x14ac:dyDescent="0.3">
      <c r="B129" s="100" t="s">
        <v>274</v>
      </c>
      <c r="C129" s="101" t="s">
        <v>275</v>
      </c>
      <c r="D129" s="58"/>
      <c r="E129" s="59"/>
      <c r="F129" s="60"/>
      <c r="G129" s="47">
        <f t="shared" si="12"/>
        <v>0</v>
      </c>
      <c r="H129" s="8"/>
      <c r="I129" s="9"/>
      <c r="J129" s="9"/>
      <c r="K129" s="9"/>
    </row>
    <row r="130" spans="2:14" ht="15" customHeight="1" x14ac:dyDescent="0.3">
      <c r="B130" s="90" t="s">
        <v>276</v>
      </c>
      <c r="C130" s="91" t="s">
        <v>277</v>
      </c>
      <c r="D130" s="58"/>
      <c r="E130" s="59"/>
      <c r="F130" s="60"/>
      <c r="G130" s="47">
        <f t="shared" si="12"/>
        <v>2352.6999999999998</v>
      </c>
      <c r="H130" s="8"/>
      <c r="I130" s="9">
        <f t="shared" si="10"/>
        <v>0</v>
      </c>
      <c r="J130" s="9"/>
      <c r="K130" s="9">
        <f t="shared" si="11"/>
        <v>0</v>
      </c>
      <c r="N130">
        <v>4953.0600000000004</v>
      </c>
    </row>
    <row r="131" spans="2:14" ht="15" customHeight="1" x14ac:dyDescent="0.3">
      <c r="B131" s="90" t="s">
        <v>278</v>
      </c>
      <c r="C131" s="91" t="s">
        <v>279</v>
      </c>
      <c r="D131" s="58"/>
      <c r="E131" s="59"/>
      <c r="F131" s="60"/>
      <c r="G131" s="47">
        <f t="shared" si="12"/>
        <v>12942.57</v>
      </c>
      <c r="H131" s="8"/>
      <c r="I131" s="9">
        <f t="shared" si="10"/>
        <v>0</v>
      </c>
      <c r="J131" s="9"/>
      <c r="K131" s="9">
        <f t="shared" si="11"/>
        <v>0</v>
      </c>
      <c r="N131">
        <v>27247.51</v>
      </c>
    </row>
    <row r="132" spans="2:14" ht="15" customHeight="1" x14ac:dyDescent="0.3">
      <c r="B132" s="90" t="s">
        <v>280</v>
      </c>
      <c r="C132" s="91" t="s">
        <v>281</v>
      </c>
      <c r="D132" s="58"/>
      <c r="E132" s="59"/>
      <c r="F132" s="60"/>
      <c r="G132" s="47">
        <f t="shared" si="12"/>
        <v>475.23</v>
      </c>
      <c r="H132" s="8"/>
      <c r="I132" s="9">
        <f t="shared" si="10"/>
        <v>0</v>
      </c>
      <c r="J132" s="9"/>
      <c r="K132" s="9">
        <f t="shared" si="11"/>
        <v>0</v>
      </c>
      <c r="N132">
        <v>1000.49</v>
      </c>
    </row>
    <row r="133" spans="2:14" ht="15" customHeight="1" x14ac:dyDescent="0.3">
      <c r="B133" s="90" t="s">
        <v>282</v>
      </c>
      <c r="C133" s="91" t="s">
        <v>283</v>
      </c>
      <c r="D133" s="58"/>
      <c r="E133" s="59"/>
      <c r="F133" s="60"/>
      <c r="G133" s="47">
        <f t="shared" si="12"/>
        <v>327.14</v>
      </c>
      <c r="H133" s="8"/>
      <c r="I133" s="9">
        <f t="shared" si="10"/>
        <v>0</v>
      </c>
      <c r="J133" s="9"/>
      <c r="K133" s="9">
        <f t="shared" si="11"/>
        <v>0</v>
      </c>
      <c r="N133">
        <v>688.72</v>
      </c>
    </row>
    <row r="134" spans="2:14" ht="15" customHeight="1" x14ac:dyDescent="0.3">
      <c r="B134" s="90" t="s">
        <v>284</v>
      </c>
      <c r="C134" s="91" t="s">
        <v>285</v>
      </c>
      <c r="D134" s="58"/>
      <c r="E134" s="59"/>
      <c r="F134" s="60"/>
      <c r="G134" s="47">
        <f t="shared" si="12"/>
        <v>621.98</v>
      </c>
      <c r="H134" s="8"/>
      <c r="I134" s="9">
        <f t="shared" si="10"/>
        <v>0</v>
      </c>
      <c r="J134" s="9"/>
      <c r="K134" s="9">
        <f t="shared" si="11"/>
        <v>0</v>
      </c>
      <c r="N134">
        <v>1309.44</v>
      </c>
    </row>
    <row r="135" spans="2:14" ht="15" customHeight="1" x14ac:dyDescent="0.3">
      <c r="B135" s="90" t="s">
        <v>286</v>
      </c>
      <c r="C135" s="91" t="s">
        <v>287</v>
      </c>
      <c r="D135" s="58"/>
      <c r="E135" s="59"/>
      <c r="F135" s="60"/>
      <c r="G135" s="47">
        <f t="shared" si="12"/>
        <v>1196.8900000000001</v>
      </c>
      <c r="H135" s="8"/>
      <c r="I135" s="9">
        <f t="shared" si="10"/>
        <v>0</v>
      </c>
      <c r="J135" s="9"/>
      <c r="K135" s="9">
        <f t="shared" si="11"/>
        <v>0</v>
      </c>
      <c r="N135">
        <v>2519.77</v>
      </c>
    </row>
    <row r="136" spans="2:14" ht="15" customHeight="1" x14ac:dyDescent="0.3">
      <c r="B136" s="100" t="s">
        <v>288</v>
      </c>
      <c r="C136" s="101" t="s">
        <v>289</v>
      </c>
      <c r="D136" s="58"/>
      <c r="E136" s="59"/>
      <c r="F136" s="60"/>
      <c r="G136" s="47">
        <f t="shared" si="12"/>
        <v>0</v>
      </c>
      <c r="H136" s="8"/>
      <c r="I136" s="9"/>
      <c r="J136" s="9"/>
      <c r="K136" s="9"/>
    </row>
    <row r="137" spans="2:14" ht="15" customHeight="1" x14ac:dyDescent="0.3">
      <c r="B137" s="90" t="s">
        <v>290</v>
      </c>
      <c r="C137" s="91" t="s">
        <v>200</v>
      </c>
      <c r="D137" s="58"/>
      <c r="E137" s="59"/>
      <c r="F137" s="60"/>
      <c r="G137" s="47">
        <f t="shared" si="12"/>
        <v>19086.14</v>
      </c>
      <c r="H137" s="8"/>
      <c r="I137" s="9">
        <f t="shared" si="10"/>
        <v>0</v>
      </c>
      <c r="J137" s="9"/>
      <c r="K137" s="9">
        <f t="shared" si="11"/>
        <v>0</v>
      </c>
      <c r="N137">
        <v>40181.35</v>
      </c>
    </row>
    <row r="138" spans="2:14" ht="15" customHeight="1" x14ac:dyDescent="0.3">
      <c r="B138" s="90" t="s">
        <v>291</v>
      </c>
      <c r="C138" s="91" t="s">
        <v>292</v>
      </c>
      <c r="D138" s="58"/>
      <c r="E138" s="59"/>
      <c r="F138" s="60"/>
      <c r="G138" s="47">
        <f t="shared" si="12"/>
        <v>922.35</v>
      </c>
      <c r="H138" s="8"/>
      <c r="I138" s="9">
        <f t="shared" si="10"/>
        <v>0</v>
      </c>
      <c r="J138" s="9"/>
      <c r="K138" s="9">
        <f t="shared" si="11"/>
        <v>0</v>
      </c>
      <c r="N138">
        <v>1941.79</v>
      </c>
    </row>
    <row r="139" spans="2:14" ht="15" customHeight="1" x14ac:dyDescent="0.3">
      <c r="B139" s="90" t="s">
        <v>293</v>
      </c>
      <c r="C139" s="91" t="s">
        <v>294</v>
      </c>
      <c r="D139" s="58"/>
      <c r="E139" s="59"/>
      <c r="F139" s="60"/>
      <c r="G139" s="47">
        <f t="shared" si="12"/>
        <v>303.24</v>
      </c>
      <c r="H139" s="8"/>
      <c r="I139" s="9">
        <f t="shared" si="10"/>
        <v>0</v>
      </c>
      <c r="J139" s="9"/>
      <c r="K139" s="9">
        <f t="shared" si="11"/>
        <v>0</v>
      </c>
      <c r="N139">
        <v>638.4</v>
      </c>
    </row>
    <row r="140" spans="2:14" ht="15" customHeight="1" x14ac:dyDescent="0.3">
      <c r="B140" s="90" t="s">
        <v>295</v>
      </c>
      <c r="C140" s="91" t="s">
        <v>155</v>
      </c>
      <c r="D140" s="58"/>
      <c r="E140" s="59"/>
      <c r="F140" s="60"/>
      <c r="G140" s="47">
        <f t="shared" si="12"/>
        <v>895.85</v>
      </c>
      <c r="H140" s="8"/>
      <c r="I140" s="9">
        <f t="shared" si="10"/>
        <v>0</v>
      </c>
      <c r="J140" s="9"/>
      <c r="K140" s="9">
        <f t="shared" si="11"/>
        <v>0</v>
      </c>
      <c r="N140">
        <v>1885.99</v>
      </c>
    </row>
    <row r="141" spans="2:14" ht="15" customHeight="1" x14ac:dyDescent="0.3">
      <c r="B141" s="90" t="s">
        <v>296</v>
      </c>
      <c r="C141" s="91" t="s">
        <v>157</v>
      </c>
      <c r="D141" s="58"/>
      <c r="E141" s="59"/>
      <c r="F141" s="60"/>
      <c r="G141" s="47">
        <f t="shared" si="12"/>
        <v>2744.57</v>
      </c>
      <c r="H141" s="8"/>
      <c r="I141" s="9">
        <f t="shared" si="10"/>
        <v>0</v>
      </c>
      <c r="J141" s="9"/>
      <c r="K141" s="9">
        <f t="shared" si="11"/>
        <v>0</v>
      </c>
      <c r="N141">
        <v>5778.05</v>
      </c>
    </row>
    <row r="142" spans="2:14" ht="15" customHeight="1" x14ac:dyDescent="0.3">
      <c r="B142" s="90" t="s">
        <v>297</v>
      </c>
      <c r="C142" s="91" t="s">
        <v>298</v>
      </c>
      <c r="D142" s="58"/>
      <c r="E142" s="59"/>
      <c r="F142" s="60"/>
      <c r="G142" s="47">
        <f t="shared" si="12"/>
        <v>10264</v>
      </c>
      <c r="H142" s="8"/>
      <c r="I142" s="9">
        <f t="shared" si="10"/>
        <v>0</v>
      </c>
      <c r="J142" s="9"/>
      <c r="K142" s="9">
        <f t="shared" si="11"/>
        <v>0</v>
      </c>
      <c r="N142">
        <v>21608.42</v>
      </c>
    </row>
    <row r="143" spans="2:14" ht="15" customHeight="1" x14ac:dyDescent="0.3">
      <c r="B143" s="100" t="s">
        <v>299</v>
      </c>
      <c r="C143" s="101" t="s">
        <v>300</v>
      </c>
      <c r="D143" s="58"/>
      <c r="E143" s="59"/>
      <c r="F143" s="60"/>
      <c r="G143" s="47">
        <f t="shared" si="12"/>
        <v>0</v>
      </c>
      <c r="H143" s="8"/>
      <c r="I143" s="9"/>
      <c r="J143" s="9"/>
      <c r="K143" s="9"/>
    </row>
    <row r="144" spans="2:14" ht="15" customHeight="1" x14ac:dyDescent="0.3">
      <c r="B144" s="90" t="s">
        <v>301</v>
      </c>
      <c r="C144" s="91" t="s">
        <v>200</v>
      </c>
      <c r="D144" s="58"/>
      <c r="E144" s="59"/>
      <c r="F144" s="60"/>
      <c r="G144" s="47">
        <f t="shared" si="12"/>
        <v>883.62</v>
      </c>
      <c r="H144" s="8"/>
      <c r="I144" s="9">
        <f t="shared" si="10"/>
        <v>0</v>
      </c>
      <c r="J144" s="9"/>
      <c r="K144" s="9">
        <f t="shared" si="11"/>
        <v>0</v>
      </c>
      <c r="N144">
        <v>1860.26</v>
      </c>
    </row>
    <row r="145" spans="2:14" ht="15" customHeight="1" x14ac:dyDescent="0.3">
      <c r="B145" s="90" t="s">
        <v>302</v>
      </c>
      <c r="C145" s="91" t="s">
        <v>303</v>
      </c>
      <c r="D145" s="58"/>
      <c r="E145" s="59"/>
      <c r="F145" s="60"/>
      <c r="G145" s="47">
        <f t="shared" si="12"/>
        <v>555.30999999999995</v>
      </c>
      <c r="H145" s="8"/>
      <c r="I145" s="9">
        <f t="shared" si="10"/>
        <v>0</v>
      </c>
      <c r="J145" s="9"/>
      <c r="K145" s="9">
        <f t="shared" si="11"/>
        <v>0</v>
      </c>
      <c r="N145">
        <v>1169.07</v>
      </c>
    </row>
    <row r="146" spans="2:14" ht="15" customHeight="1" x14ac:dyDescent="0.3">
      <c r="B146" s="90" t="s">
        <v>304</v>
      </c>
      <c r="C146" s="91" t="s">
        <v>157</v>
      </c>
      <c r="D146" s="58"/>
      <c r="E146" s="59"/>
      <c r="F146" s="60"/>
      <c r="G146" s="47">
        <f t="shared" si="12"/>
        <v>703.88</v>
      </c>
      <c r="H146" s="8"/>
      <c r="I146" s="9">
        <f t="shared" si="10"/>
        <v>0</v>
      </c>
      <c r="J146" s="9"/>
      <c r="K146" s="9">
        <f t="shared" si="11"/>
        <v>0</v>
      </c>
      <c r="N146">
        <v>1481.86</v>
      </c>
    </row>
    <row r="147" spans="2:14" ht="15" customHeight="1" x14ac:dyDescent="0.3">
      <c r="B147" s="90" t="s">
        <v>305</v>
      </c>
      <c r="C147" s="91" t="s">
        <v>306</v>
      </c>
      <c r="D147" s="58"/>
      <c r="E147" s="59"/>
      <c r="F147" s="60"/>
      <c r="G147" s="47">
        <f t="shared" si="12"/>
        <v>390.08</v>
      </c>
      <c r="H147" s="8"/>
      <c r="I147" s="9">
        <f t="shared" si="10"/>
        <v>0</v>
      </c>
      <c r="J147" s="9"/>
      <c r="K147" s="9">
        <f t="shared" si="11"/>
        <v>0</v>
      </c>
      <c r="N147">
        <v>821.23</v>
      </c>
    </row>
    <row r="148" spans="2:14" ht="15" customHeight="1" x14ac:dyDescent="0.3">
      <c r="B148" s="100" t="s">
        <v>307</v>
      </c>
      <c r="C148" s="101" t="s">
        <v>308</v>
      </c>
      <c r="D148" s="58"/>
      <c r="E148" s="59"/>
      <c r="F148" s="60"/>
      <c r="G148" s="47">
        <f t="shared" si="12"/>
        <v>0</v>
      </c>
      <c r="H148" s="8"/>
      <c r="I148" s="9"/>
      <c r="J148" s="9"/>
      <c r="K148" s="9"/>
    </row>
    <row r="149" spans="2:14" ht="15" customHeight="1" x14ac:dyDescent="0.3">
      <c r="B149" s="90" t="s">
        <v>309</v>
      </c>
      <c r="C149" s="91" t="s">
        <v>200</v>
      </c>
      <c r="D149" s="58"/>
      <c r="E149" s="59"/>
      <c r="F149" s="60"/>
      <c r="G149" s="47">
        <f t="shared" si="12"/>
        <v>1009.12</v>
      </c>
      <c r="H149" s="8"/>
      <c r="I149" s="9">
        <f t="shared" si="10"/>
        <v>0</v>
      </c>
      <c r="J149" s="9"/>
      <c r="K149" s="9">
        <f t="shared" si="11"/>
        <v>0</v>
      </c>
      <c r="N149">
        <v>2124.4699999999998</v>
      </c>
    </row>
    <row r="150" spans="2:14" ht="15" customHeight="1" x14ac:dyDescent="0.3">
      <c r="B150" s="90" t="s">
        <v>310</v>
      </c>
      <c r="C150" s="91" t="s">
        <v>157</v>
      </c>
      <c r="D150" s="58"/>
      <c r="E150" s="59"/>
      <c r="F150" s="60"/>
      <c r="G150" s="47">
        <f t="shared" si="12"/>
        <v>2431.14</v>
      </c>
      <c r="H150" s="8"/>
      <c r="I150" s="9">
        <f t="shared" si="10"/>
        <v>0</v>
      </c>
      <c r="J150" s="9"/>
      <c r="K150" s="9">
        <f t="shared" si="11"/>
        <v>0</v>
      </c>
      <c r="N150">
        <v>5118.1899999999996</v>
      </c>
    </row>
    <row r="151" spans="2:14" ht="15" customHeight="1" x14ac:dyDescent="0.3">
      <c r="B151" s="90" t="s">
        <v>311</v>
      </c>
      <c r="C151" s="91" t="s">
        <v>312</v>
      </c>
      <c r="D151" s="58"/>
      <c r="E151" s="59"/>
      <c r="F151" s="60"/>
      <c r="G151" s="47">
        <f t="shared" si="12"/>
        <v>1168.68</v>
      </c>
      <c r="H151" s="8"/>
      <c r="I151" s="9">
        <f t="shared" si="10"/>
        <v>0</v>
      </c>
      <c r="J151" s="9"/>
      <c r="K151" s="9">
        <f t="shared" si="11"/>
        <v>0</v>
      </c>
      <c r="N151">
        <v>2460.38</v>
      </c>
    </row>
    <row r="152" spans="2:14" ht="15" customHeight="1" x14ac:dyDescent="0.3">
      <c r="B152" s="90" t="s">
        <v>313</v>
      </c>
      <c r="C152" s="91" t="s">
        <v>314</v>
      </c>
      <c r="D152" s="58"/>
      <c r="E152" s="59"/>
      <c r="F152" s="60"/>
      <c r="G152" s="47">
        <f t="shared" si="12"/>
        <v>102.15</v>
      </c>
      <c r="H152" s="8"/>
      <c r="I152" s="9">
        <f t="shared" si="10"/>
        <v>0</v>
      </c>
      <c r="J152" s="9"/>
      <c r="K152" s="9">
        <f t="shared" si="11"/>
        <v>0</v>
      </c>
      <c r="N152">
        <v>215.06</v>
      </c>
    </row>
    <row r="153" spans="2:14" ht="15" customHeight="1" x14ac:dyDescent="0.3">
      <c r="B153" s="90" t="s">
        <v>315</v>
      </c>
      <c r="C153" s="91" t="s">
        <v>316</v>
      </c>
      <c r="D153" s="58"/>
      <c r="E153" s="59"/>
      <c r="F153" s="60"/>
      <c r="G153" s="47">
        <f t="shared" si="12"/>
        <v>918.59</v>
      </c>
      <c r="H153" s="8"/>
      <c r="I153" s="9">
        <f t="shared" si="10"/>
        <v>0</v>
      </c>
      <c r="J153" s="9"/>
      <c r="K153" s="9">
        <f t="shared" si="11"/>
        <v>0</v>
      </c>
      <c r="N153">
        <v>1933.88</v>
      </c>
    </row>
    <row r="154" spans="2:14" ht="15" customHeight="1" x14ac:dyDescent="0.3">
      <c r="B154" s="90" t="s">
        <v>317</v>
      </c>
      <c r="C154" s="91" t="s">
        <v>318</v>
      </c>
      <c r="D154" s="58"/>
      <c r="E154" s="59"/>
      <c r="F154" s="60"/>
      <c r="G154" s="47">
        <f t="shared" si="12"/>
        <v>382.02</v>
      </c>
      <c r="H154" s="8"/>
      <c r="I154" s="9">
        <f t="shared" si="10"/>
        <v>0</v>
      </c>
      <c r="J154" s="9"/>
      <c r="K154" s="9">
        <f t="shared" si="11"/>
        <v>0</v>
      </c>
      <c r="N154">
        <v>804.26</v>
      </c>
    </row>
    <row r="155" spans="2:14" ht="15" customHeight="1" x14ac:dyDescent="0.3">
      <c r="B155" s="100" t="s">
        <v>319</v>
      </c>
      <c r="C155" s="101" t="s">
        <v>320</v>
      </c>
      <c r="D155" s="58"/>
      <c r="E155" s="59"/>
      <c r="F155" s="60"/>
      <c r="G155" s="47">
        <f t="shared" si="12"/>
        <v>0</v>
      </c>
      <c r="H155" s="8"/>
      <c r="I155" s="9"/>
      <c r="J155" s="9"/>
      <c r="K155" s="9"/>
    </row>
    <row r="156" spans="2:14" ht="15" customHeight="1" x14ac:dyDescent="0.3">
      <c r="B156" s="90" t="s">
        <v>321</v>
      </c>
      <c r="C156" s="91" t="s">
        <v>200</v>
      </c>
      <c r="D156" s="58"/>
      <c r="E156" s="59"/>
      <c r="F156" s="60"/>
      <c r="G156" s="47">
        <f t="shared" si="12"/>
        <v>9239.9699999999993</v>
      </c>
      <c r="H156" s="8"/>
      <c r="I156" s="9">
        <f t="shared" si="10"/>
        <v>0</v>
      </c>
      <c r="J156" s="9"/>
      <c r="K156" s="9">
        <f t="shared" si="11"/>
        <v>0</v>
      </c>
      <c r="N156">
        <v>19452.57</v>
      </c>
    </row>
    <row r="157" spans="2:14" ht="15" customHeight="1" x14ac:dyDescent="0.3">
      <c r="B157" s="90" t="s">
        <v>322</v>
      </c>
      <c r="C157" s="91" t="s">
        <v>303</v>
      </c>
      <c r="D157" s="58"/>
      <c r="E157" s="59"/>
      <c r="F157" s="60"/>
      <c r="G157" s="47">
        <f t="shared" si="12"/>
        <v>1087.83</v>
      </c>
      <c r="H157" s="8"/>
      <c r="I157" s="9">
        <f t="shared" si="10"/>
        <v>0</v>
      </c>
      <c r="J157" s="9"/>
      <c r="K157" s="9">
        <f t="shared" si="11"/>
        <v>0</v>
      </c>
      <c r="N157">
        <v>2290.16</v>
      </c>
    </row>
    <row r="158" spans="2:14" ht="15" customHeight="1" x14ac:dyDescent="0.3">
      <c r="B158" s="90" t="s">
        <v>323</v>
      </c>
      <c r="C158" s="91" t="s">
        <v>155</v>
      </c>
      <c r="D158" s="58"/>
      <c r="E158" s="59"/>
      <c r="F158" s="60"/>
      <c r="G158" s="47">
        <f t="shared" si="12"/>
        <v>7488</v>
      </c>
      <c r="H158" s="8"/>
      <c r="I158" s="9">
        <f t="shared" si="10"/>
        <v>0</v>
      </c>
      <c r="J158" s="9"/>
      <c r="K158" s="9">
        <f t="shared" si="11"/>
        <v>0</v>
      </c>
      <c r="N158">
        <v>15764.2</v>
      </c>
    </row>
    <row r="159" spans="2:14" ht="15" customHeight="1" x14ac:dyDescent="0.3">
      <c r="B159" s="90" t="s">
        <v>324</v>
      </c>
      <c r="C159" s="91" t="s">
        <v>157</v>
      </c>
      <c r="D159" s="58"/>
      <c r="E159" s="59"/>
      <c r="F159" s="60"/>
      <c r="G159" s="47">
        <f t="shared" si="12"/>
        <v>1680.99</v>
      </c>
      <c r="H159" s="8"/>
      <c r="I159" s="9">
        <f t="shared" si="10"/>
        <v>0</v>
      </c>
      <c r="J159" s="9"/>
      <c r="K159" s="9">
        <f t="shared" si="11"/>
        <v>0</v>
      </c>
      <c r="N159">
        <v>3538.93</v>
      </c>
    </row>
    <row r="160" spans="2:14" ht="15" customHeight="1" x14ac:dyDescent="0.3">
      <c r="B160" s="90" t="s">
        <v>325</v>
      </c>
      <c r="C160" s="91" t="s">
        <v>326</v>
      </c>
      <c r="D160" s="58"/>
      <c r="E160" s="59"/>
      <c r="F160" s="60"/>
      <c r="G160" s="47">
        <f t="shared" si="12"/>
        <v>14439.96</v>
      </c>
      <c r="H160" s="8"/>
      <c r="I160" s="9">
        <f t="shared" si="10"/>
        <v>0</v>
      </c>
      <c r="J160" s="9"/>
      <c r="K160" s="9">
        <f t="shared" si="11"/>
        <v>0</v>
      </c>
      <c r="N160">
        <v>30399.91</v>
      </c>
    </row>
    <row r="161" spans="2:14" ht="15" customHeight="1" x14ac:dyDescent="0.3">
      <c r="B161" s="100" t="s">
        <v>327</v>
      </c>
      <c r="C161" s="101" t="s">
        <v>328</v>
      </c>
      <c r="D161" s="58"/>
      <c r="E161" s="59"/>
      <c r="F161" s="60"/>
      <c r="G161" s="47">
        <f t="shared" si="12"/>
        <v>0</v>
      </c>
      <c r="H161" s="8"/>
      <c r="I161" s="9"/>
      <c r="J161" s="9"/>
      <c r="K161" s="9"/>
    </row>
    <row r="162" spans="2:14" ht="15" customHeight="1" x14ac:dyDescent="0.3">
      <c r="B162" s="90" t="s">
        <v>329</v>
      </c>
      <c r="C162" s="91" t="s">
        <v>330</v>
      </c>
      <c r="D162" s="58"/>
      <c r="E162" s="59"/>
      <c r="F162" s="60"/>
      <c r="G162" s="47">
        <f t="shared" si="12"/>
        <v>477.59</v>
      </c>
      <c r="H162" s="8"/>
      <c r="I162" s="9">
        <f t="shared" si="10"/>
        <v>0</v>
      </c>
      <c r="J162" s="9"/>
      <c r="K162" s="9">
        <f t="shared" si="11"/>
        <v>0</v>
      </c>
      <c r="N162">
        <v>1005.45</v>
      </c>
    </row>
    <row r="163" spans="2:14" ht="15" customHeight="1" x14ac:dyDescent="0.3">
      <c r="B163" s="90" t="s">
        <v>331</v>
      </c>
      <c r="C163" s="91" t="s">
        <v>332</v>
      </c>
      <c r="D163" s="58"/>
      <c r="E163" s="59"/>
      <c r="F163" s="60"/>
      <c r="G163" s="47">
        <f t="shared" si="12"/>
        <v>436.69</v>
      </c>
      <c r="H163" s="8"/>
      <c r="I163" s="9">
        <f t="shared" si="10"/>
        <v>0</v>
      </c>
      <c r="J163" s="9"/>
      <c r="K163" s="9">
        <f t="shared" si="11"/>
        <v>0</v>
      </c>
      <c r="N163">
        <v>919.34</v>
      </c>
    </row>
    <row r="164" spans="2:14" ht="15" customHeight="1" x14ac:dyDescent="0.3">
      <c r="B164" s="90" t="s">
        <v>333</v>
      </c>
      <c r="C164" s="91" t="s">
        <v>334</v>
      </c>
      <c r="D164" s="58"/>
      <c r="E164" s="59"/>
      <c r="F164" s="60"/>
      <c r="G164" s="47">
        <f t="shared" si="12"/>
        <v>279.88</v>
      </c>
      <c r="H164" s="8"/>
      <c r="I164" s="9">
        <f t="shared" si="10"/>
        <v>0</v>
      </c>
      <c r="J164" s="9"/>
      <c r="K164" s="9">
        <f t="shared" si="11"/>
        <v>0</v>
      </c>
      <c r="N164">
        <v>589.23</v>
      </c>
    </row>
    <row r="165" spans="2:14" ht="15" customHeight="1" x14ac:dyDescent="0.3">
      <c r="B165" s="100" t="s">
        <v>335</v>
      </c>
      <c r="C165" s="101" t="s">
        <v>336</v>
      </c>
      <c r="D165" s="58"/>
      <c r="E165" s="59"/>
      <c r="F165" s="60"/>
      <c r="G165" s="47">
        <f t="shared" si="12"/>
        <v>0</v>
      </c>
      <c r="H165" s="8"/>
      <c r="I165" s="9"/>
      <c r="J165" s="9"/>
      <c r="K165" s="9"/>
    </row>
    <row r="166" spans="2:14" ht="15" customHeight="1" x14ac:dyDescent="0.3">
      <c r="B166" s="90" t="s">
        <v>337</v>
      </c>
      <c r="C166" s="91" t="s">
        <v>338</v>
      </c>
      <c r="D166" s="58"/>
      <c r="E166" s="59"/>
      <c r="F166" s="60"/>
      <c r="G166" s="47">
        <f t="shared" si="12"/>
        <v>717.04</v>
      </c>
      <c r="H166" s="8"/>
      <c r="I166" s="9">
        <f t="shared" si="10"/>
        <v>0</v>
      </c>
      <c r="J166" s="9"/>
      <c r="K166" s="9">
        <f t="shared" si="11"/>
        <v>0</v>
      </c>
      <c r="N166">
        <v>1509.56</v>
      </c>
    </row>
    <row r="167" spans="2:14" ht="15" customHeight="1" x14ac:dyDescent="0.3">
      <c r="B167" s="100" t="s">
        <v>339</v>
      </c>
      <c r="C167" s="101" t="s">
        <v>340</v>
      </c>
      <c r="D167" s="58"/>
      <c r="E167" s="59"/>
      <c r="F167" s="60"/>
      <c r="G167" s="47">
        <f t="shared" si="12"/>
        <v>0</v>
      </c>
      <c r="H167" s="8"/>
      <c r="I167" s="9"/>
      <c r="J167" s="9"/>
      <c r="K167" s="9"/>
    </row>
    <row r="168" spans="2:14" ht="15" customHeight="1" x14ac:dyDescent="0.3">
      <c r="B168" s="102" t="s">
        <v>341</v>
      </c>
      <c r="C168" s="103" t="s">
        <v>342</v>
      </c>
      <c r="D168" s="58"/>
      <c r="E168" s="59"/>
      <c r="F168" s="60"/>
      <c r="G168" s="47">
        <f t="shared" si="12"/>
        <v>0</v>
      </c>
      <c r="H168" s="8"/>
      <c r="I168" s="9"/>
      <c r="J168" s="9"/>
      <c r="K168" s="9"/>
    </row>
    <row r="169" spans="2:14" ht="15" customHeight="1" x14ac:dyDescent="0.3">
      <c r="B169" s="90" t="s">
        <v>343</v>
      </c>
      <c r="C169" s="91" t="s">
        <v>344</v>
      </c>
      <c r="D169" s="58"/>
      <c r="E169" s="59"/>
      <c r="F169" s="60"/>
      <c r="G169" s="47">
        <f t="shared" si="12"/>
        <v>636.41</v>
      </c>
      <c r="H169" s="8"/>
      <c r="I169" s="9">
        <f t="shared" ref="I169:I230" si="13">ROUND(H169*G169,2)</f>
        <v>0</v>
      </c>
      <c r="J169" s="9"/>
      <c r="K169" s="9">
        <f t="shared" ref="K169:K230" si="14">ROUND(I169-J169,2)</f>
        <v>0</v>
      </c>
      <c r="N169">
        <v>1339.8</v>
      </c>
    </row>
    <row r="170" spans="2:14" ht="15" customHeight="1" x14ac:dyDescent="0.3">
      <c r="B170" s="90" t="s">
        <v>345</v>
      </c>
      <c r="C170" s="91" t="s">
        <v>346</v>
      </c>
      <c r="D170" s="58"/>
      <c r="E170" s="59"/>
      <c r="F170" s="60"/>
      <c r="G170" s="47">
        <f t="shared" si="12"/>
        <v>889.09</v>
      </c>
      <c r="H170" s="8"/>
      <c r="I170" s="9">
        <f t="shared" si="13"/>
        <v>0</v>
      </c>
      <c r="J170" s="9"/>
      <c r="K170" s="9">
        <f t="shared" si="14"/>
        <v>0</v>
      </c>
      <c r="N170">
        <v>1871.76</v>
      </c>
    </row>
    <row r="171" spans="2:14" ht="15" customHeight="1" x14ac:dyDescent="0.3">
      <c r="B171" s="90" t="s">
        <v>347</v>
      </c>
      <c r="C171" s="91" t="s">
        <v>348</v>
      </c>
      <c r="D171" s="58"/>
      <c r="E171" s="59"/>
      <c r="F171" s="60"/>
      <c r="G171" s="47">
        <f t="shared" si="12"/>
        <v>889.09</v>
      </c>
      <c r="H171" s="8"/>
      <c r="I171" s="9">
        <f t="shared" si="13"/>
        <v>0</v>
      </c>
      <c r="J171" s="9"/>
      <c r="K171" s="9">
        <f t="shared" si="14"/>
        <v>0</v>
      </c>
      <c r="N171">
        <v>1871.76</v>
      </c>
    </row>
    <row r="172" spans="2:14" ht="15" customHeight="1" x14ac:dyDescent="0.3">
      <c r="B172" s="90" t="s">
        <v>349</v>
      </c>
      <c r="C172" s="91" t="s">
        <v>350</v>
      </c>
      <c r="D172" s="58"/>
      <c r="E172" s="59"/>
      <c r="F172" s="60"/>
      <c r="G172" s="47">
        <f t="shared" si="12"/>
        <v>636.41</v>
      </c>
      <c r="H172" s="8"/>
      <c r="I172" s="9">
        <f t="shared" si="13"/>
        <v>0</v>
      </c>
      <c r="J172" s="9"/>
      <c r="K172" s="9">
        <f t="shared" si="14"/>
        <v>0</v>
      </c>
      <c r="N172">
        <v>1339.8</v>
      </c>
    </row>
    <row r="173" spans="2:14" ht="15" customHeight="1" x14ac:dyDescent="0.3">
      <c r="B173" s="90" t="s">
        <v>351</v>
      </c>
      <c r="C173" s="91" t="s">
        <v>352</v>
      </c>
      <c r="D173" s="58"/>
      <c r="E173" s="59"/>
      <c r="F173" s="60"/>
      <c r="G173" s="47">
        <f t="shared" si="12"/>
        <v>889.09</v>
      </c>
      <c r="H173" s="8"/>
      <c r="I173" s="9">
        <f t="shared" si="13"/>
        <v>0</v>
      </c>
      <c r="J173" s="9"/>
      <c r="K173" s="9">
        <f t="shared" si="14"/>
        <v>0</v>
      </c>
      <c r="N173">
        <v>1871.76</v>
      </c>
    </row>
    <row r="174" spans="2:14" ht="15" customHeight="1" x14ac:dyDescent="0.3">
      <c r="B174" s="102" t="s">
        <v>353</v>
      </c>
      <c r="C174" s="103" t="s">
        <v>238</v>
      </c>
      <c r="D174" s="58"/>
      <c r="E174" s="59"/>
      <c r="F174" s="60"/>
      <c r="G174" s="47">
        <f t="shared" si="12"/>
        <v>0</v>
      </c>
      <c r="H174" s="8"/>
      <c r="I174" s="9"/>
      <c r="J174" s="9"/>
      <c r="K174" s="9"/>
    </row>
    <row r="175" spans="2:14" ht="15" customHeight="1" x14ac:dyDescent="0.3">
      <c r="B175" s="90" t="s">
        <v>354</v>
      </c>
      <c r="C175" s="91" t="s">
        <v>355</v>
      </c>
      <c r="D175" s="58"/>
      <c r="E175" s="59"/>
      <c r="F175" s="60"/>
      <c r="G175" s="47">
        <f t="shared" si="12"/>
        <v>285.85000000000002</v>
      </c>
      <c r="H175" s="8"/>
      <c r="I175" s="9">
        <f t="shared" si="13"/>
        <v>0</v>
      </c>
      <c r="J175" s="9"/>
      <c r="K175" s="9">
        <f t="shared" si="14"/>
        <v>0</v>
      </c>
      <c r="N175">
        <v>601.79</v>
      </c>
    </row>
    <row r="176" spans="2:14" ht="15" customHeight="1" x14ac:dyDescent="0.3">
      <c r="B176" s="102" t="s">
        <v>356</v>
      </c>
      <c r="C176" s="103" t="s">
        <v>357</v>
      </c>
      <c r="D176" s="58"/>
      <c r="E176" s="59"/>
      <c r="F176" s="60"/>
      <c r="G176" s="47">
        <f t="shared" si="12"/>
        <v>0</v>
      </c>
      <c r="H176" s="8"/>
      <c r="I176" s="9"/>
      <c r="J176" s="9"/>
      <c r="K176" s="9"/>
    </row>
    <row r="177" spans="2:14" ht="15" customHeight="1" x14ac:dyDescent="0.3">
      <c r="B177" s="90" t="s">
        <v>358</v>
      </c>
      <c r="C177" s="91" t="s">
        <v>359</v>
      </c>
      <c r="D177" s="58"/>
      <c r="E177" s="59"/>
      <c r="F177" s="60"/>
      <c r="G177" s="47">
        <f t="shared" si="12"/>
        <v>1097.25</v>
      </c>
      <c r="H177" s="8"/>
      <c r="I177" s="9">
        <f t="shared" si="13"/>
        <v>0</v>
      </c>
      <c r="J177" s="9"/>
      <c r="K177" s="9">
        <f t="shared" si="14"/>
        <v>0</v>
      </c>
      <c r="N177">
        <v>2310</v>
      </c>
    </row>
    <row r="178" spans="2:14" ht="15" customHeight="1" x14ac:dyDescent="0.3">
      <c r="B178" s="90" t="s">
        <v>360</v>
      </c>
      <c r="C178" s="91" t="s">
        <v>361</v>
      </c>
      <c r="D178" s="58"/>
      <c r="E178" s="59"/>
      <c r="F178" s="60"/>
      <c r="G178" s="47">
        <f t="shared" si="12"/>
        <v>1423.29</v>
      </c>
      <c r="H178" s="8"/>
      <c r="I178" s="9">
        <f t="shared" si="13"/>
        <v>0</v>
      </c>
      <c r="J178" s="9"/>
      <c r="K178" s="9">
        <f t="shared" si="14"/>
        <v>0</v>
      </c>
      <c r="N178">
        <v>2996.4</v>
      </c>
    </row>
    <row r="179" spans="2:14" ht="15" customHeight="1" x14ac:dyDescent="0.3">
      <c r="B179" s="102" t="s">
        <v>362</v>
      </c>
      <c r="C179" s="103" t="s">
        <v>363</v>
      </c>
      <c r="D179" s="58"/>
      <c r="E179" s="59"/>
      <c r="F179" s="60"/>
      <c r="G179" s="47">
        <f t="shared" si="12"/>
        <v>0</v>
      </c>
      <c r="H179" s="8"/>
      <c r="I179" s="9"/>
      <c r="J179" s="9"/>
      <c r="K179" s="9"/>
    </row>
    <row r="180" spans="2:14" ht="15" customHeight="1" x14ac:dyDescent="0.3">
      <c r="B180" s="90" t="s">
        <v>364</v>
      </c>
      <c r="C180" s="91" t="s">
        <v>365</v>
      </c>
      <c r="D180" s="58"/>
      <c r="E180" s="59"/>
      <c r="F180" s="60"/>
      <c r="G180" s="47">
        <f t="shared" si="12"/>
        <v>612.17999999999995</v>
      </c>
      <c r="H180" s="8"/>
      <c r="I180" s="9">
        <f t="shared" si="13"/>
        <v>0</v>
      </c>
      <c r="J180" s="9"/>
      <c r="K180" s="9">
        <f t="shared" si="14"/>
        <v>0</v>
      </c>
      <c r="N180">
        <v>1288.81</v>
      </c>
    </row>
    <row r="181" spans="2:14" ht="15" customHeight="1" x14ac:dyDescent="0.3">
      <c r="B181" s="90" t="s">
        <v>366</v>
      </c>
      <c r="C181" s="91" t="s">
        <v>367</v>
      </c>
      <c r="D181" s="58"/>
      <c r="E181" s="59"/>
      <c r="F181" s="60"/>
      <c r="G181" s="47">
        <f t="shared" si="12"/>
        <v>56.79</v>
      </c>
      <c r="H181" s="8"/>
      <c r="I181" s="9">
        <f t="shared" si="13"/>
        <v>0</v>
      </c>
      <c r="J181" s="9"/>
      <c r="K181" s="9">
        <f t="shared" si="14"/>
        <v>0</v>
      </c>
      <c r="N181">
        <v>119.55</v>
      </c>
    </row>
    <row r="182" spans="2:14" ht="15" customHeight="1" x14ac:dyDescent="0.3">
      <c r="B182" s="102" t="s">
        <v>368</v>
      </c>
      <c r="C182" s="103" t="s">
        <v>369</v>
      </c>
      <c r="D182" s="56" t="s">
        <v>9</v>
      </c>
      <c r="E182" s="53" t="s">
        <v>9</v>
      </c>
      <c r="F182" s="11"/>
      <c r="G182" s="47">
        <f t="shared" si="12"/>
        <v>0</v>
      </c>
      <c r="H182" s="8"/>
      <c r="I182" s="9"/>
      <c r="J182" s="9"/>
      <c r="K182" s="9"/>
    </row>
    <row r="183" spans="2:14" ht="15" customHeight="1" x14ac:dyDescent="0.3">
      <c r="B183" s="90" t="s">
        <v>370</v>
      </c>
      <c r="C183" s="91" t="s">
        <v>371</v>
      </c>
      <c r="D183" s="56" t="s">
        <v>10</v>
      </c>
      <c r="E183" s="53" t="s">
        <v>10</v>
      </c>
      <c r="F183" s="11"/>
      <c r="G183" s="47">
        <f t="shared" si="12"/>
        <v>1399.46</v>
      </c>
      <c r="H183" s="8"/>
      <c r="I183" s="9">
        <f t="shared" si="13"/>
        <v>0</v>
      </c>
      <c r="J183" s="9"/>
      <c r="K183" s="9">
        <f t="shared" si="14"/>
        <v>0</v>
      </c>
      <c r="N183">
        <v>2946.24</v>
      </c>
    </row>
    <row r="184" spans="2:14" ht="15" customHeight="1" x14ac:dyDescent="0.3">
      <c r="B184" s="90" t="s">
        <v>372</v>
      </c>
      <c r="C184" s="91" t="s">
        <v>373</v>
      </c>
      <c r="D184" s="56" t="s">
        <v>11</v>
      </c>
      <c r="E184" s="53" t="s">
        <v>11</v>
      </c>
      <c r="F184" s="11"/>
      <c r="G184" s="47">
        <f t="shared" si="12"/>
        <v>183.71</v>
      </c>
      <c r="H184" s="8"/>
      <c r="I184" s="9">
        <f t="shared" si="13"/>
        <v>0</v>
      </c>
      <c r="J184" s="9"/>
      <c r="K184" s="9">
        <f t="shared" si="14"/>
        <v>0</v>
      </c>
      <c r="N184">
        <v>386.76</v>
      </c>
    </row>
    <row r="185" spans="2:14" ht="15" customHeight="1" x14ac:dyDescent="0.3">
      <c r="B185" s="102" t="s">
        <v>374</v>
      </c>
      <c r="C185" s="103" t="s">
        <v>375</v>
      </c>
      <c r="D185" s="75"/>
      <c r="E185" s="76"/>
      <c r="F185" s="77"/>
      <c r="G185" s="47">
        <f t="shared" si="12"/>
        <v>0</v>
      </c>
      <c r="H185" s="8"/>
      <c r="I185" s="9"/>
      <c r="J185" s="9"/>
      <c r="K185" s="9"/>
    </row>
    <row r="186" spans="2:14" ht="15" customHeight="1" x14ac:dyDescent="0.3">
      <c r="B186" s="90" t="s">
        <v>376</v>
      </c>
      <c r="C186" s="91" t="s">
        <v>377</v>
      </c>
      <c r="D186" s="56" t="s">
        <v>12</v>
      </c>
      <c r="E186" s="53" t="s">
        <v>12</v>
      </c>
      <c r="F186" s="11"/>
      <c r="G186" s="47">
        <f t="shared" si="12"/>
        <v>72.42</v>
      </c>
      <c r="H186" s="8"/>
      <c r="I186" s="9">
        <f t="shared" si="13"/>
        <v>0</v>
      </c>
      <c r="J186" s="9"/>
      <c r="K186" s="9">
        <f t="shared" si="14"/>
        <v>0</v>
      </c>
      <c r="N186">
        <v>152.46</v>
      </c>
    </row>
    <row r="187" spans="2:14" ht="15" customHeight="1" x14ac:dyDescent="0.3">
      <c r="B187" s="90" t="s">
        <v>378</v>
      </c>
      <c r="C187" s="91" t="s">
        <v>379</v>
      </c>
      <c r="D187" s="56"/>
      <c r="E187" s="53"/>
      <c r="F187" s="11"/>
      <c r="G187" s="47">
        <f t="shared" si="12"/>
        <v>416.92</v>
      </c>
      <c r="H187" s="8"/>
      <c r="I187" s="9">
        <f t="shared" si="13"/>
        <v>0</v>
      </c>
      <c r="J187" s="9"/>
      <c r="K187" s="9">
        <f t="shared" si="14"/>
        <v>0</v>
      </c>
      <c r="N187">
        <v>877.73</v>
      </c>
    </row>
    <row r="188" spans="2:14" ht="15" customHeight="1" x14ac:dyDescent="0.3">
      <c r="B188" s="102" t="s">
        <v>380</v>
      </c>
      <c r="C188" s="103" t="s">
        <v>381</v>
      </c>
      <c r="D188" s="56" t="s">
        <v>17</v>
      </c>
      <c r="E188" s="53" t="s">
        <v>17</v>
      </c>
      <c r="F188" s="11"/>
      <c r="G188" s="47">
        <f t="shared" si="12"/>
        <v>0</v>
      </c>
      <c r="H188" s="8"/>
      <c r="I188" s="9"/>
      <c r="J188" s="9"/>
      <c r="K188" s="9"/>
    </row>
    <row r="189" spans="2:14" ht="15" customHeight="1" x14ac:dyDescent="0.3">
      <c r="B189" s="90" t="s">
        <v>382</v>
      </c>
      <c r="C189" s="91" t="s">
        <v>383</v>
      </c>
      <c r="D189" s="56" t="s">
        <v>18</v>
      </c>
      <c r="E189" s="53" t="s">
        <v>18</v>
      </c>
      <c r="F189" s="11"/>
      <c r="G189" s="47">
        <f t="shared" ref="G189:G202" si="15">+ROUND(N189*0.475,2)</f>
        <v>48.81</v>
      </c>
      <c r="H189" s="8"/>
      <c r="I189" s="9">
        <f t="shared" si="13"/>
        <v>0</v>
      </c>
      <c r="J189" s="9"/>
      <c r="K189" s="9">
        <f t="shared" si="14"/>
        <v>0</v>
      </c>
      <c r="N189">
        <v>102.75</v>
      </c>
    </row>
    <row r="190" spans="2:14" ht="15" customHeight="1" x14ac:dyDescent="0.3">
      <c r="B190" s="102" t="s">
        <v>384</v>
      </c>
      <c r="C190" s="103" t="s">
        <v>385</v>
      </c>
      <c r="D190" s="56"/>
      <c r="E190" s="53"/>
      <c r="F190" s="11"/>
      <c r="G190" s="47">
        <f t="shared" si="15"/>
        <v>0</v>
      </c>
      <c r="H190" s="8"/>
      <c r="I190" s="9"/>
      <c r="J190" s="9"/>
      <c r="K190" s="9"/>
    </row>
    <row r="191" spans="2:14" ht="15" customHeight="1" x14ac:dyDescent="0.3">
      <c r="B191" s="90" t="s">
        <v>386</v>
      </c>
      <c r="C191" s="91" t="s">
        <v>387</v>
      </c>
      <c r="D191" s="56" t="s">
        <v>19</v>
      </c>
      <c r="E191" s="53" t="s">
        <v>19</v>
      </c>
      <c r="F191" s="11"/>
      <c r="G191" s="47">
        <f t="shared" si="15"/>
        <v>2750.62</v>
      </c>
      <c r="H191" s="8"/>
      <c r="I191" s="9">
        <f t="shared" si="13"/>
        <v>0</v>
      </c>
      <c r="J191" s="9"/>
      <c r="K191" s="9">
        <f t="shared" si="14"/>
        <v>0</v>
      </c>
      <c r="N191">
        <v>5790.77</v>
      </c>
    </row>
    <row r="192" spans="2:14" ht="15" customHeight="1" x14ac:dyDescent="0.3">
      <c r="B192" s="102" t="s">
        <v>388</v>
      </c>
      <c r="C192" s="103" t="s">
        <v>389</v>
      </c>
      <c r="D192" s="56" t="s">
        <v>20</v>
      </c>
      <c r="E192" s="53" t="s">
        <v>20</v>
      </c>
      <c r="F192" s="11"/>
      <c r="G192" s="47">
        <f t="shared" si="15"/>
        <v>0</v>
      </c>
      <c r="H192" s="8"/>
      <c r="I192" s="9"/>
      <c r="J192" s="9"/>
      <c r="K192" s="9"/>
    </row>
    <row r="193" spans="2:14" ht="15" customHeight="1" x14ac:dyDescent="0.3">
      <c r="B193" s="90" t="s">
        <v>390</v>
      </c>
      <c r="C193" s="91" t="s">
        <v>391</v>
      </c>
      <c r="D193" s="56" t="s">
        <v>21</v>
      </c>
      <c r="E193" s="53" t="s">
        <v>21</v>
      </c>
      <c r="F193" s="11"/>
      <c r="G193" s="47">
        <f t="shared" si="15"/>
        <v>231.39</v>
      </c>
      <c r="H193" s="8"/>
      <c r="I193" s="9">
        <f t="shared" si="13"/>
        <v>0</v>
      </c>
      <c r="J193" s="9"/>
      <c r="K193" s="9">
        <f t="shared" si="14"/>
        <v>0</v>
      </c>
      <c r="N193">
        <v>487.13</v>
      </c>
    </row>
    <row r="194" spans="2:14" ht="15" customHeight="1" x14ac:dyDescent="0.3">
      <c r="B194" s="102" t="s">
        <v>392</v>
      </c>
      <c r="C194" s="103" t="s">
        <v>393</v>
      </c>
      <c r="D194" s="56" t="s">
        <v>23</v>
      </c>
      <c r="E194" s="53" t="s">
        <v>23</v>
      </c>
      <c r="F194" s="11"/>
      <c r="G194" s="47">
        <f t="shared" si="15"/>
        <v>0</v>
      </c>
      <c r="H194" s="8"/>
      <c r="I194" s="9"/>
      <c r="J194" s="9"/>
      <c r="K194" s="9"/>
    </row>
    <row r="195" spans="2:14" ht="15" customHeight="1" x14ac:dyDescent="0.3">
      <c r="B195" s="90" t="s">
        <v>394</v>
      </c>
      <c r="C195" s="91" t="s">
        <v>395</v>
      </c>
      <c r="D195" s="75" t="s">
        <v>25</v>
      </c>
      <c r="E195" s="76" t="s">
        <v>25</v>
      </c>
      <c r="F195" s="77"/>
      <c r="G195" s="47">
        <f t="shared" si="15"/>
        <v>3325.59</v>
      </c>
      <c r="H195" s="8"/>
      <c r="I195" s="9">
        <f t="shared" si="13"/>
        <v>0</v>
      </c>
      <c r="J195" s="9"/>
      <c r="K195" s="9">
        <f t="shared" si="14"/>
        <v>0</v>
      </c>
      <c r="N195">
        <v>7001.24</v>
      </c>
    </row>
    <row r="196" spans="2:14" ht="29.25" customHeight="1" x14ac:dyDescent="0.3">
      <c r="B196" s="90" t="s">
        <v>396</v>
      </c>
      <c r="C196" s="91" t="s">
        <v>397</v>
      </c>
      <c r="D196" s="56" t="s">
        <v>26</v>
      </c>
      <c r="E196" s="53" t="s">
        <v>26</v>
      </c>
      <c r="F196" s="11"/>
      <c r="G196" s="47">
        <f t="shared" si="15"/>
        <v>217.36</v>
      </c>
      <c r="H196" s="8"/>
      <c r="I196" s="9">
        <f t="shared" si="13"/>
        <v>0</v>
      </c>
      <c r="J196" s="9"/>
      <c r="K196" s="9">
        <f t="shared" si="14"/>
        <v>0</v>
      </c>
      <c r="N196">
        <v>457.61</v>
      </c>
    </row>
    <row r="197" spans="2:14" x14ac:dyDescent="0.3">
      <c r="B197" s="102" t="s">
        <v>398</v>
      </c>
      <c r="C197" s="103" t="s">
        <v>399</v>
      </c>
      <c r="D197" s="56"/>
      <c r="E197" s="53"/>
      <c r="F197" s="11"/>
      <c r="G197" s="47">
        <f t="shared" si="15"/>
        <v>0</v>
      </c>
      <c r="H197" s="8"/>
      <c r="I197" s="9"/>
      <c r="J197" s="9"/>
      <c r="K197" s="9"/>
    </row>
    <row r="198" spans="2:14" ht="26.4" x14ac:dyDescent="0.3">
      <c r="B198" s="90" t="s">
        <v>400</v>
      </c>
      <c r="C198" s="91" t="s">
        <v>401</v>
      </c>
      <c r="D198" s="56"/>
      <c r="E198" s="53"/>
      <c r="F198" s="11"/>
      <c r="G198" s="47">
        <f t="shared" si="15"/>
        <v>237.33</v>
      </c>
      <c r="H198" s="8"/>
      <c r="I198" s="9">
        <f t="shared" si="13"/>
        <v>0</v>
      </c>
      <c r="J198" s="9"/>
      <c r="K198" s="9">
        <f t="shared" si="14"/>
        <v>0</v>
      </c>
      <c r="N198">
        <v>499.64</v>
      </c>
    </row>
    <row r="199" spans="2:14" x14ac:dyDescent="0.3">
      <c r="B199" s="102" t="s">
        <v>402</v>
      </c>
      <c r="C199" s="103" t="s">
        <v>403</v>
      </c>
      <c r="D199" s="56"/>
      <c r="E199" s="53"/>
      <c r="F199" s="11"/>
      <c r="G199" s="47">
        <f t="shared" si="15"/>
        <v>0</v>
      </c>
      <c r="H199" s="8"/>
      <c r="I199" s="9"/>
      <c r="J199" s="9"/>
      <c r="K199" s="9"/>
    </row>
    <row r="200" spans="2:14" ht="26.4" x14ac:dyDescent="0.3">
      <c r="B200" s="102" t="s">
        <v>404</v>
      </c>
      <c r="C200" s="103" t="s">
        <v>405</v>
      </c>
      <c r="D200" s="75" t="s">
        <v>25</v>
      </c>
      <c r="E200" s="76" t="s">
        <v>25</v>
      </c>
      <c r="F200" s="77"/>
      <c r="G200" s="47">
        <f t="shared" si="15"/>
        <v>0</v>
      </c>
      <c r="H200" s="8"/>
      <c r="I200" s="9"/>
      <c r="J200" s="9"/>
      <c r="K200" s="9"/>
    </row>
    <row r="201" spans="2:14" ht="26.4" x14ac:dyDescent="0.3">
      <c r="B201" s="90" t="s">
        <v>406</v>
      </c>
      <c r="C201" s="91" t="s">
        <v>407</v>
      </c>
      <c r="D201" s="56"/>
      <c r="E201" s="53"/>
      <c r="F201" s="11"/>
      <c r="G201" s="47">
        <f t="shared" si="15"/>
        <v>282.14999999999998</v>
      </c>
      <c r="H201" s="8"/>
      <c r="I201" s="9">
        <f t="shared" si="13"/>
        <v>0</v>
      </c>
      <c r="J201" s="9"/>
      <c r="K201" s="9">
        <f t="shared" si="14"/>
        <v>0</v>
      </c>
      <c r="N201">
        <v>594</v>
      </c>
    </row>
    <row r="202" spans="2:14" ht="15" customHeight="1" x14ac:dyDescent="0.3">
      <c r="B202" s="90" t="s">
        <v>408</v>
      </c>
      <c r="C202" s="91" t="s">
        <v>409</v>
      </c>
      <c r="D202" s="56" t="s">
        <v>29</v>
      </c>
      <c r="E202" s="53" t="s">
        <v>29</v>
      </c>
      <c r="F202" s="11"/>
      <c r="G202" s="47">
        <f t="shared" si="15"/>
        <v>148.72999999999999</v>
      </c>
      <c r="H202" s="8"/>
      <c r="I202" s="9">
        <f t="shared" si="13"/>
        <v>0</v>
      </c>
      <c r="J202" s="9"/>
      <c r="K202" s="9">
        <f t="shared" si="14"/>
        <v>0</v>
      </c>
      <c r="N202">
        <v>313.12</v>
      </c>
    </row>
    <row r="203" spans="2:14" ht="15" customHeight="1" x14ac:dyDescent="0.3">
      <c r="B203" s="92"/>
      <c r="C203" s="93"/>
      <c r="D203" s="56" t="s">
        <v>30</v>
      </c>
      <c r="E203" s="53" t="s">
        <v>30</v>
      </c>
      <c r="F203" s="11"/>
      <c r="G203" s="47"/>
      <c r="H203" s="8"/>
      <c r="I203" s="9"/>
      <c r="J203" s="9"/>
      <c r="K203" s="9"/>
    </row>
    <row r="204" spans="2:14" ht="15" customHeight="1" x14ac:dyDescent="0.3">
      <c r="B204" s="94"/>
      <c r="C204" s="95" t="s">
        <v>410</v>
      </c>
      <c r="D204" s="56"/>
      <c r="E204" s="53"/>
      <c r="F204" s="11"/>
      <c r="G204" s="78">
        <f>SUM(G125:G202)</f>
        <v>125922.30999999995</v>
      </c>
      <c r="H204" s="8"/>
      <c r="I204" s="9"/>
      <c r="J204" s="9"/>
      <c r="K204" s="9"/>
      <c r="N204">
        <v>265099.61000000004</v>
      </c>
    </row>
    <row r="205" spans="2:14" ht="15" customHeight="1" x14ac:dyDescent="0.3">
      <c r="B205" s="96"/>
      <c r="C205" s="97"/>
      <c r="D205" s="75" t="s">
        <v>25</v>
      </c>
      <c r="E205" s="76" t="s">
        <v>25</v>
      </c>
      <c r="F205" s="77"/>
      <c r="G205" s="78"/>
      <c r="H205" s="8"/>
      <c r="I205" s="9"/>
      <c r="J205" s="9"/>
      <c r="K205" s="9"/>
    </row>
    <row r="206" spans="2:14" ht="15" customHeight="1" x14ac:dyDescent="0.3">
      <c r="B206" s="86" t="s">
        <v>411</v>
      </c>
      <c r="C206" s="87" t="s">
        <v>412</v>
      </c>
      <c r="D206" s="56"/>
      <c r="E206" s="53"/>
      <c r="F206" s="11"/>
      <c r="G206" s="47"/>
      <c r="H206" s="8"/>
      <c r="I206" s="9"/>
      <c r="J206" s="9"/>
      <c r="K206" s="9"/>
    </row>
    <row r="207" spans="2:14" x14ac:dyDescent="0.3">
      <c r="B207" s="88" t="s">
        <v>413</v>
      </c>
      <c r="C207" s="89" t="s">
        <v>414</v>
      </c>
      <c r="F207" s="11"/>
      <c r="G207" s="47">
        <f>+ROUND(N207*0.475,2)</f>
        <v>1959.26</v>
      </c>
      <c r="H207" s="106"/>
      <c r="I207" s="9">
        <f t="shared" si="13"/>
        <v>0</v>
      </c>
      <c r="J207" s="9"/>
      <c r="K207" s="9">
        <f t="shared" si="14"/>
        <v>0</v>
      </c>
      <c r="N207">
        <v>4124.76</v>
      </c>
    </row>
    <row r="208" spans="2:14" x14ac:dyDescent="0.3">
      <c r="B208" s="92"/>
      <c r="C208" s="93"/>
      <c r="F208" s="11"/>
      <c r="G208" s="47"/>
      <c r="H208" s="8"/>
      <c r="I208" s="9"/>
      <c r="J208" s="9"/>
      <c r="K208" s="9"/>
    </row>
    <row r="209" spans="2:14" x14ac:dyDescent="0.3">
      <c r="B209" s="94"/>
      <c r="C209" s="95" t="s">
        <v>415</v>
      </c>
      <c r="D209" s="75" t="s">
        <v>25</v>
      </c>
      <c r="E209" s="76" t="s">
        <v>25</v>
      </c>
      <c r="F209" s="77"/>
      <c r="G209" s="78">
        <f>G207</f>
        <v>1959.26</v>
      </c>
      <c r="H209" s="8"/>
      <c r="I209" s="9"/>
      <c r="J209" s="9"/>
      <c r="K209" s="9"/>
      <c r="N209">
        <v>4124.76</v>
      </c>
    </row>
    <row r="210" spans="2:14" x14ac:dyDescent="0.3">
      <c r="B210" s="96"/>
      <c r="C210" s="97"/>
      <c r="D210" s="80"/>
      <c r="E210" s="80"/>
      <c r="F210" s="77"/>
      <c r="G210" s="78"/>
      <c r="H210" s="8"/>
      <c r="I210" s="9"/>
      <c r="J210" s="9"/>
      <c r="K210" s="9"/>
    </row>
    <row r="211" spans="2:14" ht="15" customHeight="1" x14ac:dyDescent="0.3">
      <c r="B211" s="86" t="s">
        <v>416</v>
      </c>
      <c r="C211" s="87" t="s">
        <v>417</v>
      </c>
      <c r="F211" s="11"/>
      <c r="G211" s="47"/>
      <c r="H211" s="8"/>
      <c r="I211" s="9"/>
      <c r="J211" s="9"/>
      <c r="K211" s="9"/>
    </row>
    <row r="212" spans="2:14" ht="15" customHeight="1" x14ac:dyDescent="0.3">
      <c r="B212" s="98" t="s">
        <v>418</v>
      </c>
      <c r="C212" s="99" t="s">
        <v>419</v>
      </c>
      <c r="D212" s="75" t="s">
        <v>25</v>
      </c>
      <c r="E212" s="76" t="s">
        <v>25</v>
      </c>
      <c r="F212" s="77"/>
      <c r="G212" s="78"/>
      <c r="H212" s="8"/>
      <c r="I212" s="9"/>
      <c r="J212" s="9"/>
      <c r="K212" s="9"/>
    </row>
    <row r="213" spans="2:14" ht="15" customHeight="1" x14ac:dyDescent="0.3">
      <c r="B213" s="90" t="s">
        <v>420</v>
      </c>
      <c r="C213" s="91" t="s">
        <v>421</v>
      </c>
      <c r="D213" s="80"/>
      <c r="E213" s="80"/>
      <c r="F213" s="77"/>
      <c r="G213" s="47">
        <f t="shared" ref="G213:G216" si="16">+ROUND(N213*0.475,2)</f>
        <v>118.2</v>
      </c>
      <c r="H213" s="8"/>
      <c r="I213" s="9">
        <f t="shared" si="13"/>
        <v>0</v>
      </c>
      <c r="J213" s="9"/>
      <c r="K213" s="9">
        <f t="shared" si="14"/>
        <v>0</v>
      </c>
      <c r="N213">
        <v>248.85</v>
      </c>
    </row>
    <row r="214" spans="2:14" ht="17.399999999999999" x14ac:dyDescent="0.35">
      <c r="B214" s="100" t="s">
        <v>422</v>
      </c>
      <c r="C214" s="101" t="s">
        <v>423</v>
      </c>
      <c r="D214" s="81"/>
      <c r="E214" s="81"/>
      <c r="F214" s="79"/>
      <c r="G214" s="47">
        <f t="shared" si="16"/>
        <v>0</v>
      </c>
      <c r="H214" s="8"/>
      <c r="I214" s="9"/>
      <c r="J214" s="9"/>
      <c r="K214" s="9"/>
    </row>
    <row r="215" spans="2:14" x14ac:dyDescent="0.3">
      <c r="B215" s="90" t="s">
        <v>424</v>
      </c>
      <c r="C215" s="91" t="s">
        <v>425</v>
      </c>
      <c r="F215" s="11"/>
      <c r="G215" s="47">
        <f t="shared" si="16"/>
        <v>382.47</v>
      </c>
      <c r="H215" s="8"/>
      <c r="I215" s="9">
        <f t="shared" si="13"/>
        <v>0</v>
      </c>
      <c r="J215" s="9"/>
      <c r="K215" s="9">
        <f t="shared" si="14"/>
        <v>0</v>
      </c>
      <c r="N215">
        <v>805.2</v>
      </c>
    </row>
    <row r="216" spans="2:14" x14ac:dyDescent="0.3">
      <c r="B216" s="90" t="s">
        <v>426</v>
      </c>
      <c r="C216" s="91" t="s">
        <v>427</v>
      </c>
      <c r="F216" s="11"/>
      <c r="G216" s="47">
        <f t="shared" si="16"/>
        <v>321.64999999999998</v>
      </c>
      <c r="H216" s="8"/>
      <c r="I216" s="9">
        <f t="shared" si="13"/>
        <v>0</v>
      </c>
      <c r="J216" s="9"/>
      <c r="K216" s="9">
        <f t="shared" si="14"/>
        <v>0</v>
      </c>
      <c r="N216">
        <v>677.16</v>
      </c>
    </row>
    <row r="217" spans="2:14" x14ac:dyDescent="0.3">
      <c r="B217" s="92"/>
      <c r="C217" s="93"/>
      <c r="F217" s="11"/>
      <c r="G217" s="47"/>
      <c r="H217" s="8"/>
      <c r="I217" s="9"/>
      <c r="J217" s="9"/>
      <c r="K217" s="9"/>
    </row>
    <row r="218" spans="2:14" x14ac:dyDescent="0.3">
      <c r="B218" s="94"/>
      <c r="C218" s="95" t="s">
        <v>428</v>
      </c>
      <c r="D218" s="69"/>
      <c r="E218" s="68"/>
      <c r="F218" s="67"/>
      <c r="G218" s="85">
        <f>SUM(G213:G216)</f>
        <v>822.31999999999994</v>
      </c>
      <c r="H218" s="65"/>
      <c r="I218" s="64"/>
      <c r="J218" s="64"/>
      <c r="K218" s="64"/>
      <c r="N218">
        <v>1731.21</v>
      </c>
    </row>
    <row r="219" spans="2:14" x14ac:dyDescent="0.3">
      <c r="B219" s="96"/>
      <c r="C219" s="97"/>
      <c r="D219" s="75" t="s">
        <v>25</v>
      </c>
      <c r="E219" s="76" t="s">
        <v>25</v>
      </c>
      <c r="F219" s="77"/>
      <c r="G219" s="78"/>
      <c r="H219" s="65"/>
      <c r="I219" s="64"/>
      <c r="J219" s="64"/>
      <c r="K219" s="64"/>
    </row>
    <row r="220" spans="2:14" x14ac:dyDescent="0.3">
      <c r="B220" s="86" t="s">
        <v>429</v>
      </c>
      <c r="C220" s="87" t="s">
        <v>430</v>
      </c>
      <c r="D220" s="69"/>
      <c r="E220" s="68"/>
      <c r="F220" s="67"/>
      <c r="G220" s="66"/>
      <c r="H220" s="65"/>
      <c r="I220" s="64"/>
      <c r="J220" s="64"/>
      <c r="K220" s="64"/>
    </row>
    <row r="221" spans="2:14" x14ac:dyDescent="0.3">
      <c r="B221" s="98" t="s">
        <v>431</v>
      </c>
      <c r="C221" s="99" t="s">
        <v>432</v>
      </c>
      <c r="D221" s="69"/>
      <c r="E221" s="68"/>
      <c r="F221" s="67"/>
      <c r="G221" s="66"/>
      <c r="H221" s="65"/>
      <c r="I221" s="64"/>
      <c r="J221" s="64"/>
      <c r="K221" s="64"/>
    </row>
    <row r="222" spans="2:14" x14ac:dyDescent="0.3">
      <c r="B222" s="90" t="s">
        <v>433</v>
      </c>
      <c r="C222" s="91" t="s">
        <v>434</v>
      </c>
      <c r="D222" s="69"/>
      <c r="E222" s="68"/>
      <c r="F222" s="67"/>
      <c r="G222" s="47">
        <f t="shared" ref="G222:G234" si="17">+ROUND(N222*0.475,2)</f>
        <v>1073.6500000000001</v>
      </c>
      <c r="H222" s="65"/>
      <c r="I222" s="64">
        <f t="shared" si="13"/>
        <v>0</v>
      </c>
      <c r="J222" s="64"/>
      <c r="K222" s="64">
        <f t="shared" si="14"/>
        <v>0</v>
      </c>
      <c r="N222">
        <v>2260.3200000000002</v>
      </c>
    </row>
    <row r="223" spans="2:14" x14ac:dyDescent="0.3">
      <c r="B223" s="90" t="s">
        <v>435</v>
      </c>
      <c r="C223" s="91" t="s">
        <v>436</v>
      </c>
      <c r="D223" s="69"/>
      <c r="E223" s="68"/>
      <c r="F223" s="67"/>
      <c r="G223" s="47">
        <f t="shared" si="17"/>
        <v>2592.0300000000002</v>
      </c>
      <c r="H223" s="65"/>
      <c r="I223" s="64">
        <f t="shared" si="13"/>
        <v>0</v>
      </c>
      <c r="J223" s="64"/>
      <c r="K223" s="64">
        <f t="shared" si="14"/>
        <v>0</v>
      </c>
      <c r="N223">
        <v>5456.9</v>
      </c>
    </row>
    <row r="224" spans="2:14" x14ac:dyDescent="0.3">
      <c r="B224" s="100" t="s">
        <v>437</v>
      </c>
      <c r="C224" s="101" t="s">
        <v>438</v>
      </c>
      <c r="D224" s="69"/>
      <c r="E224" s="68"/>
      <c r="F224" s="67"/>
      <c r="G224" s="47">
        <f t="shared" si="17"/>
        <v>0</v>
      </c>
      <c r="H224" s="65"/>
      <c r="I224" s="64">
        <f t="shared" si="13"/>
        <v>0</v>
      </c>
      <c r="J224" s="64"/>
      <c r="K224" s="64">
        <f t="shared" si="14"/>
        <v>0</v>
      </c>
    </row>
    <row r="225" spans="2:14" x14ac:dyDescent="0.3">
      <c r="B225" s="90" t="s">
        <v>439</v>
      </c>
      <c r="C225" s="91" t="s">
        <v>440</v>
      </c>
      <c r="D225" s="69"/>
      <c r="E225" s="68"/>
      <c r="F225" s="67"/>
      <c r="G225" s="47">
        <f t="shared" si="17"/>
        <v>1055.75</v>
      </c>
      <c r="H225" s="65"/>
      <c r="I225" s="64">
        <f t="shared" si="13"/>
        <v>0</v>
      </c>
      <c r="J225" s="64"/>
      <c r="K225" s="64">
        <f t="shared" si="14"/>
        <v>0</v>
      </c>
      <c r="N225">
        <v>2222.64</v>
      </c>
    </row>
    <row r="226" spans="2:14" x14ac:dyDescent="0.3">
      <c r="B226" s="100" t="s">
        <v>441</v>
      </c>
      <c r="C226" s="101" t="s">
        <v>442</v>
      </c>
      <c r="D226" s="69"/>
      <c r="E226" s="68"/>
      <c r="F226" s="67"/>
      <c r="G226" s="47">
        <f t="shared" si="17"/>
        <v>0</v>
      </c>
      <c r="H226" s="65"/>
      <c r="I226" s="64">
        <f t="shared" si="13"/>
        <v>0</v>
      </c>
      <c r="J226" s="64"/>
      <c r="K226" s="64">
        <f t="shared" si="14"/>
        <v>0</v>
      </c>
    </row>
    <row r="227" spans="2:14" x14ac:dyDescent="0.3">
      <c r="B227" s="90" t="s">
        <v>443</v>
      </c>
      <c r="C227" s="91" t="s">
        <v>444</v>
      </c>
      <c r="D227" s="69"/>
      <c r="E227" s="68"/>
      <c r="F227" s="67"/>
      <c r="G227" s="47">
        <f t="shared" si="17"/>
        <v>298.35000000000002</v>
      </c>
      <c r="H227" s="65"/>
      <c r="I227" s="64">
        <f t="shared" si="13"/>
        <v>0</v>
      </c>
      <c r="J227" s="64"/>
      <c r="K227" s="64">
        <f t="shared" si="14"/>
        <v>0</v>
      </c>
      <c r="N227">
        <v>628.1</v>
      </c>
    </row>
    <row r="228" spans="2:14" x14ac:dyDescent="0.3">
      <c r="B228" s="90" t="s">
        <v>445</v>
      </c>
      <c r="C228" s="91" t="s">
        <v>446</v>
      </c>
      <c r="D228" s="69"/>
      <c r="E228" s="68"/>
      <c r="F228" s="67"/>
      <c r="G228" s="47">
        <f t="shared" si="17"/>
        <v>1379.35</v>
      </c>
      <c r="H228" s="65"/>
      <c r="I228" s="64">
        <f t="shared" si="13"/>
        <v>0</v>
      </c>
      <c r="J228" s="64"/>
      <c r="K228" s="64">
        <f t="shared" si="14"/>
        <v>0</v>
      </c>
      <c r="N228">
        <v>2903.89</v>
      </c>
    </row>
    <row r="229" spans="2:14" x14ac:dyDescent="0.3">
      <c r="B229" s="90" t="s">
        <v>447</v>
      </c>
      <c r="C229" s="91" t="s">
        <v>448</v>
      </c>
      <c r="D229" s="82"/>
      <c r="E229" s="83"/>
      <c r="F229" s="84"/>
      <c r="G229" s="47">
        <f t="shared" si="17"/>
        <v>1884.64</v>
      </c>
      <c r="H229" s="65"/>
      <c r="I229" s="64">
        <f t="shared" si="13"/>
        <v>0</v>
      </c>
      <c r="J229" s="64"/>
      <c r="K229" s="64">
        <f t="shared" si="14"/>
        <v>0</v>
      </c>
      <c r="N229">
        <v>3967.67</v>
      </c>
    </row>
    <row r="230" spans="2:14" x14ac:dyDescent="0.3">
      <c r="B230" s="90" t="s">
        <v>449</v>
      </c>
      <c r="C230" s="91" t="s">
        <v>450</v>
      </c>
      <c r="D230" s="69"/>
      <c r="E230" s="68"/>
      <c r="F230" s="67"/>
      <c r="G230" s="47">
        <f t="shared" si="17"/>
        <v>3431.74</v>
      </c>
      <c r="H230" s="65"/>
      <c r="I230" s="64">
        <f t="shared" si="13"/>
        <v>0</v>
      </c>
      <c r="J230" s="64"/>
      <c r="K230" s="64">
        <f t="shared" si="14"/>
        <v>0</v>
      </c>
      <c r="N230">
        <v>7224.72</v>
      </c>
    </row>
    <row r="231" spans="2:14" x14ac:dyDescent="0.3">
      <c r="B231" s="100" t="s">
        <v>451</v>
      </c>
      <c r="C231" s="101" t="s">
        <v>452</v>
      </c>
      <c r="D231" s="69"/>
      <c r="E231" s="68"/>
      <c r="F231" s="67"/>
      <c r="G231" s="47">
        <f t="shared" si="17"/>
        <v>0</v>
      </c>
      <c r="H231" s="65"/>
      <c r="I231" s="64">
        <f t="shared" ref="I231:I237" si="18">ROUND(H231*G231,2)</f>
        <v>0</v>
      </c>
      <c r="J231" s="64"/>
      <c r="K231" s="64">
        <f t="shared" ref="K231:K237" si="19">ROUND(I231-J231,2)</f>
        <v>0</v>
      </c>
    </row>
    <row r="232" spans="2:14" x14ac:dyDescent="0.3">
      <c r="B232" s="90" t="s">
        <v>453</v>
      </c>
      <c r="C232" s="91" t="s">
        <v>454</v>
      </c>
      <c r="D232" s="69"/>
      <c r="E232" s="68"/>
      <c r="F232" s="67"/>
      <c r="G232" s="47">
        <f t="shared" si="17"/>
        <v>1551.83</v>
      </c>
      <c r="H232" s="65"/>
      <c r="I232" s="64">
        <f t="shared" si="18"/>
        <v>0</v>
      </c>
      <c r="J232" s="64"/>
      <c r="K232" s="64">
        <f t="shared" si="19"/>
        <v>0</v>
      </c>
      <c r="N232">
        <v>3267</v>
      </c>
    </row>
    <row r="233" spans="2:14" x14ac:dyDescent="0.3">
      <c r="B233" s="100" t="s">
        <v>455</v>
      </c>
      <c r="C233" s="101" t="s">
        <v>72</v>
      </c>
      <c r="D233" s="69"/>
      <c r="E233" s="68"/>
      <c r="F233" s="67"/>
      <c r="G233" s="47">
        <f t="shared" si="17"/>
        <v>0</v>
      </c>
      <c r="H233" s="65"/>
      <c r="I233" s="64">
        <f t="shared" si="18"/>
        <v>0</v>
      </c>
      <c r="J233" s="64"/>
      <c r="K233" s="64">
        <f t="shared" si="19"/>
        <v>0</v>
      </c>
    </row>
    <row r="234" spans="2:14" x14ac:dyDescent="0.3">
      <c r="B234" s="90" t="s">
        <v>456</v>
      </c>
      <c r="C234" s="91" t="s">
        <v>457</v>
      </c>
      <c r="D234" s="82"/>
      <c r="E234" s="83"/>
      <c r="F234" s="84"/>
      <c r="G234" s="47">
        <f t="shared" si="17"/>
        <v>299.35000000000002</v>
      </c>
      <c r="H234" s="65"/>
      <c r="I234" s="64">
        <f t="shared" si="18"/>
        <v>0</v>
      </c>
      <c r="J234" s="64"/>
      <c r="K234" s="64">
        <f t="shared" si="19"/>
        <v>0</v>
      </c>
      <c r="N234">
        <v>630.22</v>
      </c>
    </row>
    <row r="235" spans="2:14" x14ac:dyDescent="0.3">
      <c r="B235" s="92"/>
      <c r="C235" s="93"/>
      <c r="D235" s="69"/>
      <c r="E235" s="68"/>
      <c r="F235" s="67"/>
      <c r="G235" s="66"/>
      <c r="H235" s="65"/>
      <c r="I235" s="64">
        <f t="shared" si="18"/>
        <v>0</v>
      </c>
      <c r="J235" s="64"/>
      <c r="K235" s="64">
        <f t="shared" si="19"/>
        <v>0</v>
      </c>
    </row>
    <row r="236" spans="2:14" x14ac:dyDescent="0.3">
      <c r="B236" s="94"/>
      <c r="C236" s="95" t="s">
        <v>458</v>
      </c>
      <c r="D236" s="69"/>
      <c r="E236" s="68"/>
      <c r="F236" s="67"/>
      <c r="G236" s="85">
        <f>SUM(G222:G234)</f>
        <v>13566.69</v>
      </c>
      <c r="H236" s="65"/>
      <c r="I236" s="64">
        <f t="shared" si="18"/>
        <v>0</v>
      </c>
      <c r="J236" s="64"/>
      <c r="K236" s="64">
        <f t="shared" si="19"/>
        <v>0</v>
      </c>
      <c r="N236">
        <v>28561.46</v>
      </c>
    </row>
    <row r="237" spans="2:14" x14ac:dyDescent="0.3">
      <c r="B237" s="104"/>
      <c r="C237" s="105"/>
      <c r="D237" s="69"/>
      <c r="E237" s="68"/>
      <c r="F237" s="67"/>
      <c r="G237" s="66"/>
      <c r="H237" s="65"/>
      <c r="I237" s="64">
        <f t="shared" si="18"/>
        <v>0</v>
      </c>
      <c r="J237" s="64"/>
      <c r="K237" s="64">
        <f t="shared" si="19"/>
        <v>0</v>
      </c>
    </row>
    <row r="238" spans="2:14" x14ac:dyDescent="0.3">
      <c r="B238" s="108" t="s">
        <v>459</v>
      </c>
      <c r="C238" s="87" t="s">
        <v>460</v>
      </c>
      <c r="D238" s="56" t="s">
        <v>9</v>
      </c>
      <c r="E238" s="53" t="s">
        <v>9</v>
      </c>
      <c r="F238" s="11"/>
      <c r="G238" s="47"/>
      <c r="H238" s="8"/>
      <c r="I238" s="9"/>
      <c r="J238" s="9"/>
      <c r="K238" s="9"/>
    </row>
    <row r="239" spans="2:14" x14ac:dyDescent="0.3">
      <c r="B239" s="109" t="s">
        <v>461</v>
      </c>
      <c r="C239" s="99" t="s">
        <v>94</v>
      </c>
      <c r="D239" s="56" t="s">
        <v>10</v>
      </c>
      <c r="E239" s="53" t="s">
        <v>10</v>
      </c>
      <c r="F239" s="11"/>
      <c r="G239" s="47"/>
      <c r="H239" s="8"/>
      <c r="I239" s="9"/>
      <c r="J239" s="9"/>
      <c r="K239" s="9"/>
    </row>
    <row r="240" spans="2:14" x14ac:dyDescent="0.3">
      <c r="B240" s="110" t="s">
        <v>462</v>
      </c>
      <c r="C240" s="91" t="s">
        <v>96</v>
      </c>
      <c r="D240" s="56" t="s">
        <v>10</v>
      </c>
      <c r="E240" s="53" t="s">
        <v>10</v>
      </c>
      <c r="F240" s="11"/>
      <c r="G240" s="47">
        <f t="shared" ref="G240:G257" si="20">+ROUND(N240*0.475,2)</f>
        <v>110.35</v>
      </c>
      <c r="H240" s="8"/>
      <c r="I240" s="9">
        <f t="shared" ref="I240:I332" si="21">ROUND(H240*G240,2)</f>
        <v>0</v>
      </c>
      <c r="J240" s="9"/>
      <c r="K240" s="9">
        <f t="shared" ref="K240:K332" si="22">ROUND(I240-J240,2)</f>
        <v>0</v>
      </c>
      <c r="N240">
        <v>232.32</v>
      </c>
    </row>
    <row r="241" spans="2:14" x14ac:dyDescent="0.3">
      <c r="B241" s="110" t="s">
        <v>463</v>
      </c>
      <c r="C241" s="91" t="s">
        <v>98</v>
      </c>
      <c r="D241" s="56"/>
      <c r="E241" s="53"/>
      <c r="F241" s="11"/>
      <c r="G241" s="47">
        <f t="shared" si="20"/>
        <v>675.66</v>
      </c>
      <c r="H241" s="8"/>
      <c r="I241" s="9">
        <f t="shared" si="21"/>
        <v>0</v>
      </c>
      <c r="J241" s="9"/>
      <c r="K241" s="9">
        <f t="shared" si="22"/>
        <v>0</v>
      </c>
      <c r="N241">
        <v>1422.44</v>
      </c>
    </row>
    <row r="242" spans="2:14" x14ac:dyDescent="0.3">
      <c r="B242" s="110" t="s">
        <v>464</v>
      </c>
      <c r="C242" s="91" t="s">
        <v>100</v>
      </c>
      <c r="D242" s="56"/>
      <c r="E242" s="53"/>
      <c r="F242" s="11"/>
      <c r="G242" s="47">
        <f t="shared" si="20"/>
        <v>1538.76</v>
      </c>
      <c r="H242" s="8"/>
      <c r="I242" s="9">
        <f t="shared" si="21"/>
        <v>0</v>
      </c>
      <c r="J242" s="9"/>
      <c r="K242" s="9">
        <f t="shared" si="22"/>
        <v>0</v>
      </c>
      <c r="N242">
        <v>3239.49</v>
      </c>
    </row>
    <row r="243" spans="2:14" x14ac:dyDescent="0.3">
      <c r="B243" s="111" t="s">
        <v>465</v>
      </c>
      <c r="C243" s="101" t="s">
        <v>102</v>
      </c>
      <c r="D243" s="56"/>
      <c r="E243" s="53"/>
      <c r="F243" s="11"/>
      <c r="G243" s="47">
        <f t="shared" si="20"/>
        <v>0</v>
      </c>
      <c r="H243" s="8"/>
      <c r="I243" s="9"/>
      <c r="J243" s="9"/>
      <c r="K243" s="9"/>
    </row>
    <row r="244" spans="2:14" x14ac:dyDescent="0.3">
      <c r="B244" s="110" t="s">
        <v>466</v>
      </c>
      <c r="C244" s="91" t="s">
        <v>104</v>
      </c>
      <c r="D244" s="56"/>
      <c r="E244" s="53"/>
      <c r="F244" s="11"/>
      <c r="G244" s="47">
        <f t="shared" si="20"/>
        <v>2357.16</v>
      </c>
      <c r="H244" s="8"/>
      <c r="I244" s="9">
        <f t="shared" si="21"/>
        <v>0</v>
      </c>
      <c r="J244" s="9"/>
      <c r="K244" s="9">
        <f t="shared" si="22"/>
        <v>0</v>
      </c>
      <c r="N244">
        <v>4962.45</v>
      </c>
    </row>
    <row r="245" spans="2:14" x14ac:dyDescent="0.3">
      <c r="B245" s="110" t="s">
        <v>467</v>
      </c>
      <c r="C245" s="91" t="s">
        <v>106</v>
      </c>
      <c r="D245" s="56"/>
      <c r="E245" s="53"/>
      <c r="F245" s="11"/>
      <c r="G245" s="47">
        <f t="shared" si="20"/>
        <v>722.23</v>
      </c>
      <c r="H245" s="8"/>
      <c r="I245" s="9">
        <f t="shared" si="21"/>
        <v>0</v>
      </c>
      <c r="J245" s="9"/>
      <c r="K245" s="9">
        <f t="shared" si="22"/>
        <v>0</v>
      </c>
      <c r="N245">
        <v>1520.48</v>
      </c>
    </row>
    <row r="246" spans="2:14" x14ac:dyDescent="0.3">
      <c r="B246" s="111" t="s">
        <v>468</v>
      </c>
      <c r="C246" s="101" t="s">
        <v>108</v>
      </c>
      <c r="D246" s="56"/>
      <c r="E246" s="53"/>
      <c r="F246" s="11"/>
      <c r="G246" s="47">
        <f t="shared" si="20"/>
        <v>0</v>
      </c>
      <c r="H246" s="8"/>
      <c r="I246" s="9"/>
      <c r="J246" s="9"/>
      <c r="K246" s="9"/>
    </row>
    <row r="247" spans="2:14" x14ac:dyDescent="0.3">
      <c r="B247" s="110" t="s">
        <v>469</v>
      </c>
      <c r="C247" s="91" t="s">
        <v>110</v>
      </c>
      <c r="D247" s="56"/>
      <c r="E247" s="53"/>
      <c r="F247" s="11"/>
      <c r="G247" s="47">
        <f t="shared" si="20"/>
        <v>531.02</v>
      </c>
      <c r="H247" s="8"/>
      <c r="I247" s="9">
        <f t="shared" si="21"/>
        <v>0</v>
      </c>
      <c r="J247" s="9"/>
      <c r="K247" s="9">
        <f t="shared" si="22"/>
        <v>0</v>
      </c>
      <c r="N247">
        <v>1117.93</v>
      </c>
    </row>
    <row r="248" spans="2:14" x14ac:dyDescent="0.3">
      <c r="B248" s="110" t="s">
        <v>470</v>
      </c>
      <c r="C248" s="91" t="s">
        <v>112</v>
      </c>
      <c r="D248" s="56"/>
      <c r="E248" s="53"/>
      <c r="F248" s="11"/>
      <c r="G248" s="47">
        <f t="shared" si="20"/>
        <v>665.26</v>
      </c>
      <c r="H248" s="8"/>
      <c r="I248" s="9">
        <f t="shared" si="21"/>
        <v>0</v>
      </c>
      <c r="J248" s="9"/>
      <c r="K248" s="9">
        <f t="shared" si="22"/>
        <v>0</v>
      </c>
      <c r="N248">
        <v>1400.54</v>
      </c>
    </row>
    <row r="249" spans="2:14" x14ac:dyDescent="0.3">
      <c r="B249" s="110" t="s">
        <v>471</v>
      </c>
      <c r="C249" s="91" t="s">
        <v>114</v>
      </c>
      <c r="D249" s="56"/>
      <c r="E249" s="53"/>
      <c r="F249" s="11"/>
      <c r="G249" s="47">
        <f t="shared" si="20"/>
        <v>760.7</v>
      </c>
      <c r="H249" s="8"/>
      <c r="I249" s="9">
        <f t="shared" si="21"/>
        <v>0</v>
      </c>
      <c r="J249" s="9"/>
      <c r="K249" s="9">
        <f t="shared" si="22"/>
        <v>0</v>
      </c>
      <c r="N249">
        <v>1601.47</v>
      </c>
    </row>
    <row r="250" spans="2:14" x14ac:dyDescent="0.3">
      <c r="B250" s="111" t="s">
        <v>472</v>
      </c>
      <c r="C250" s="101" t="s">
        <v>116</v>
      </c>
      <c r="D250" s="56"/>
      <c r="E250" s="53"/>
      <c r="F250" s="11"/>
      <c r="G250" s="47">
        <f t="shared" si="20"/>
        <v>0</v>
      </c>
      <c r="H250" s="8"/>
      <c r="I250" s="9"/>
      <c r="J250" s="9"/>
      <c r="K250" s="9"/>
    </row>
    <row r="251" spans="2:14" x14ac:dyDescent="0.3">
      <c r="B251" s="110" t="s">
        <v>473</v>
      </c>
      <c r="C251" s="91" t="s">
        <v>118</v>
      </c>
      <c r="D251" s="56"/>
      <c r="E251" s="53"/>
      <c r="F251" s="11"/>
      <c r="G251" s="47">
        <f t="shared" si="20"/>
        <v>1762.06</v>
      </c>
      <c r="H251" s="8"/>
      <c r="I251" s="9">
        <f t="shared" si="21"/>
        <v>0</v>
      </c>
      <c r="J251" s="9"/>
      <c r="K251" s="9">
        <f t="shared" si="22"/>
        <v>0</v>
      </c>
      <c r="N251">
        <v>3709.6</v>
      </c>
    </row>
    <row r="252" spans="2:14" x14ac:dyDescent="0.3">
      <c r="B252" s="110" t="s">
        <v>474</v>
      </c>
      <c r="C252" s="91" t="s">
        <v>120</v>
      </c>
      <c r="D252" s="56"/>
      <c r="E252" s="53"/>
      <c r="F252" s="11"/>
      <c r="G252" s="47">
        <f t="shared" si="20"/>
        <v>4100.59</v>
      </c>
      <c r="H252" s="8"/>
      <c r="I252" s="9">
        <f t="shared" si="21"/>
        <v>0</v>
      </c>
      <c r="J252" s="9"/>
      <c r="K252" s="9">
        <f t="shared" si="22"/>
        <v>0</v>
      </c>
      <c r="N252">
        <v>8632.83</v>
      </c>
    </row>
    <row r="253" spans="2:14" x14ac:dyDescent="0.3">
      <c r="B253" s="110" t="s">
        <v>475</v>
      </c>
      <c r="C253" s="91" t="s">
        <v>122</v>
      </c>
      <c r="D253" s="56"/>
      <c r="E253" s="53"/>
      <c r="F253" s="11"/>
      <c r="G253" s="47">
        <f t="shared" si="20"/>
        <v>4562.3</v>
      </c>
      <c r="H253" s="8"/>
      <c r="I253" s="9">
        <f t="shared" si="21"/>
        <v>0</v>
      </c>
      <c r="J253" s="9"/>
      <c r="K253" s="9">
        <f t="shared" si="22"/>
        <v>0</v>
      </c>
      <c r="N253">
        <v>9604.84</v>
      </c>
    </row>
    <row r="254" spans="2:14" x14ac:dyDescent="0.3">
      <c r="B254" s="111" t="s">
        <v>476</v>
      </c>
      <c r="C254" s="101" t="s">
        <v>132</v>
      </c>
      <c r="D254" s="56"/>
      <c r="E254" s="53"/>
      <c r="F254" s="11"/>
      <c r="G254" s="47">
        <f t="shared" si="20"/>
        <v>0</v>
      </c>
      <c r="H254" s="8"/>
      <c r="I254" s="9"/>
      <c r="J254" s="9"/>
      <c r="K254" s="9"/>
    </row>
    <row r="255" spans="2:14" x14ac:dyDescent="0.3">
      <c r="B255" s="110" t="s">
        <v>477</v>
      </c>
      <c r="C255" s="91" t="s">
        <v>478</v>
      </c>
      <c r="D255" s="56"/>
      <c r="E255" s="53"/>
      <c r="F255" s="11"/>
      <c r="G255" s="47">
        <f t="shared" si="20"/>
        <v>9427.43</v>
      </c>
      <c r="H255" s="8"/>
      <c r="I255" s="9">
        <f t="shared" si="21"/>
        <v>0</v>
      </c>
      <c r="J255" s="9"/>
      <c r="K255" s="9">
        <f t="shared" si="22"/>
        <v>0</v>
      </c>
      <c r="N255">
        <v>19847.23</v>
      </c>
    </row>
    <row r="256" spans="2:14" x14ac:dyDescent="0.3">
      <c r="B256" s="110" t="s">
        <v>479</v>
      </c>
      <c r="C256" s="91" t="s">
        <v>136</v>
      </c>
      <c r="D256" s="56"/>
      <c r="E256" s="53"/>
      <c r="F256" s="11"/>
      <c r="G256" s="47">
        <f t="shared" si="20"/>
        <v>7198.95</v>
      </c>
      <c r="H256" s="8"/>
      <c r="I256" s="9">
        <f t="shared" si="21"/>
        <v>0</v>
      </c>
      <c r="J256" s="9"/>
      <c r="K256" s="9">
        <f t="shared" si="22"/>
        <v>0</v>
      </c>
      <c r="N256">
        <v>15155.69</v>
      </c>
    </row>
    <row r="257" spans="2:14" x14ac:dyDescent="0.3">
      <c r="B257" s="110" t="s">
        <v>480</v>
      </c>
      <c r="C257" s="91" t="s">
        <v>138</v>
      </c>
      <c r="D257" s="56"/>
      <c r="E257" s="53"/>
      <c r="F257" s="11"/>
      <c r="G257" s="47">
        <f t="shared" si="20"/>
        <v>5945.14</v>
      </c>
      <c r="H257" s="8"/>
      <c r="I257" s="9">
        <f t="shared" si="21"/>
        <v>0</v>
      </c>
      <c r="J257" s="9"/>
      <c r="K257" s="9">
        <f t="shared" si="22"/>
        <v>0</v>
      </c>
      <c r="N257">
        <v>12516.09</v>
      </c>
    </row>
    <row r="258" spans="2:14" x14ac:dyDescent="0.3">
      <c r="B258" s="112"/>
      <c r="C258" s="93"/>
      <c r="D258" s="56"/>
      <c r="E258" s="53"/>
      <c r="F258" s="11"/>
      <c r="G258" s="47"/>
      <c r="H258" s="8"/>
      <c r="I258" s="9"/>
      <c r="J258" s="9"/>
      <c r="K258" s="9"/>
    </row>
    <row r="259" spans="2:14" x14ac:dyDescent="0.3">
      <c r="B259" s="113"/>
      <c r="C259" s="95" t="s">
        <v>481</v>
      </c>
      <c r="D259" s="56"/>
      <c r="E259" s="53"/>
      <c r="F259" s="11"/>
      <c r="G259" s="78">
        <f>SUM(G240:G257)</f>
        <v>40357.61</v>
      </c>
      <c r="H259" s="8"/>
      <c r="I259" s="9"/>
      <c r="J259" s="9"/>
      <c r="K259" s="9"/>
      <c r="N259">
        <v>84963.4</v>
      </c>
    </row>
    <row r="260" spans="2:14" x14ac:dyDescent="0.3">
      <c r="B260" s="114"/>
      <c r="C260" s="97"/>
      <c r="D260" s="56"/>
      <c r="E260" s="53"/>
      <c r="F260" s="11"/>
      <c r="G260" s="47"/>
      <c r="H260" s="8"/>
      <c r="I260" s="9"/>
      <c r="J260" s="9"/>
      <c r="K260" s="9"/>
    </row>
    <row r="261" spans="2:14" x14ac:dyDescent="0.3">
      <c r="B261" s="108" t="s">
        <v>482</v>
      </c>
      <c r="C261" s="87" t="s">
        <v>483</v>
      </c>
      <c r="D261" s="56"/>
      <c r="E261" s="53"/>
      <c r="F261" s="11"/>
      <c r="G261" s="47"/>
      <c r="H261" s="8"/>
      <c r="I261" s="9"/>
      <c r="J261" s="9"/>
      <c r="K261" s="9"/>
    </row>
    <row r="262" spans="2:14" x14ac:dyDescent="0.3">
      <c r="B262" s="109" t="s">
        <v>484</v>
      </c>
      <c r="C262" s="99" t="s">
        <v>151</v>
      </c>
      <c r="D262" s="56"/>
      <c r="E262" s="53"/>
      <c r="F262" s="11"/>
      <c r="G262" s="47"/>
      <c r="H262" s="8"/>
      <c r="I262" s="9"/>
      <c r="J262" s="9"/>
      <c r="K262" s="9"/>
    </row>
    <row r="263" spans="2:14" x14ac:dyDescent="0.3">
      <c r="B263" s="110" t="s">
        <v>485</v>
      </c>
      <c r="C263" s="91" t="s">
        <v>153</v>
      </c>
      <c r="D263" s="56"/>
      <c r="E263" s="53"/>
      <c r="F263" s="11"/>
      <c r="G263" s="47">
        <f t="shared" ref="G263:G286" si="23">+ROUND(N263*0.475,2)</f>
        <v>533.07000000000005</v>
      </c>
      <c r="H263" s="8"/>
      <c r="I263" s="9">
        <f t="shared" si="21"/>
        <v>0</v>
      </c>
      <c r="J263" s="9"/>
      <c r="K263" s="9">
        <f t="shared" si="22"/>
        <v>0</v>
      </c>
      <c r="N263">
        <v>1122.26</v>
      </c>
    </row>
    <row r="264" spans="2:14" x14ac:dyDescent="0.3">
      <c r="B264" s="110" t="s">
        <v>486</v>
      </c>
      <c r="C264" s="91" t="s">
        <v>155</v>
      </c>
      <c r="D264" s="56"/>
      <c r="E264" s="53"/>
      <c r="F264" s="11"/>
      <c r="G264" s="47">
        <f t="shared" si="23"/>
        <v>652.64</v>
      </c>
      <c r="H264" s="8"/>
      <c r="I264" s="9">
        <f t="shared" si="21"/>
        <v>0</v>
      </c>
      <c r="J264" s="9"/>
      <c r="K264" s="9">
        <f t="shared" si="22"/>
        <v>0</v>
      </c>
      <c r="N264">
        <v>1373.98</v>
      </c>
    </row>
    <row r="265" spans="2:14" x14ac:dyDescent="0.3">
      <c r="B265" s="110" t="s">
        <v>487</v>
      </c>
      <c r="C265" s="91" t="s">
        <v>157</v>
      </c>
      <c r="D265" s="56"/>
      <c r="E265" s="53"/>
      <c r="F265" s="11"/>
      <c r="G265" s="47">
        <f t="shared" si="23"/>
        <v>75.489999999999995</v>
      </c>
      <c r="H265" s="8"/>
      <c r="I265" s="9">
        <f t="shared" si="21"/>
        <v>0</v>
      </c>
      <c r="J265" s="9"/>
      <c r="K265" s="9">
        <f t="shared" si="22"/>
        <v>0</v>
      </c>
      <c r="N265">
        <v>158.91999999999999</v>
      </c>
    </row>
    <row r="266" spans="2:14" x14ac:dyDescent="0.3">
      <c r="B266" s="110" t="s">
        <v>488</v>
      </c>
      <c r="C266" s="91" t="s">
        <v>159</v>
      </c>
      <c r="D266" s="56"/>
      <c r="E266" s="53"/>
      <c r="F266" s="11"/>
      <c r="G266" s="47">
        <f t="shared" si="23"/>
        <v>1227.22</v>
      </c>
      <c r="H266" s="8"/>
      <c r="I266" s="9">
        <f t="shared" si="21"/>
        <v>0</v>
      </c>
      <c r="J266" s="9"/>
      <c r="K266" s="9">
        <f t="shared" si="22"/>
        <v>0</v>
      </c>
      <c r="N266">
        <v>2583.62</v>
      </c>
    </row>
    <row r="267" spans="2:14" x14ac:dyDescent="0.3">
      <c r="B267" s="111" t="s">
        <v>489</v>
      </c>
      <c r="C267" s="101" t="s">
        <v>490</v>
      </c>
      <c r="D267" s="56"/>
      <c r="E267" s="53"/>
      <c r="F267" s="11"/>
      <c r="G267" s="47">
        <f t="shared" si="23"/>
        <v>0</v>
      </c>
      <c r="H267" s="8"/>
      <c r="I267" s="9"/>
      <c r="J267" s="9"/>
      <c r="K267" s="9"/>
    </row>
    <row r="268" spans="2:14" x14ac:dyDescent="0.3">
      <c r="B268" s="110" t="s">
        <v>491</v>
      </c>
      <c r="C268" s="91" t="s">
        <v>492</v>
      </c>
      <c r="D268" s="56"/>
      <c r="E268" s="53"/>
      <c r="F268" s="11"/>
      <c r="G268" s="47">
        <f t="shared" si="23"/>
        <v>22843.37</v>
      </c>
      <c r="H268" s="8"/>
      <c r="I268" s="9">
        <f t="shared" si="21"/>
        <v>0</v>
      </c>
      <c r="J268" s="9"/>
      <c r="K268" s="9">
        <f t="shared" si="22"/>
        <v>0</v>
      </c>
      <c r="N268">
        <v>48091.31</v>
      </c>
    </row>
    <row r="269" spans="2:14" x14ac:dyDescent="0.3">
      <c r="B269" s="111" t="s">
        <v>493</v>
      </c>
      <c r="C269" s="101" t="s">
        <v>494</v>
      </c>
      <c r="D269" s="56"/>
      <c r="E269" s="53"/>
      <c r="F269" s="11"/>
      <c r="G269" s="47">
        <f t="shared" si="23"/>
        <v>0</v>
      </c>
      <c r="H269" s="8"/>
      <c r="I269" s="9"/>
      <c r="J269" s="9"/>
      <c r="K269" s="9"/>
    </row>
    <row r="270" spans="2:14" x14ac:dyDescent="0.3">
      <c r="B270" s="115" t="s">
        <v>495</v>
      </c>
      <c r="C270" s="103" t="s">
        <v>167</v>
      </c>
      <c r="D270" s="56"/>
      <c r="E270" s="53"/>
      <c r="F270" s="11"/>
      <c r="G270" s="47">
        <f t="shared" si="23"/>
        <v>0</v>
      </c>
      <c r="H270" s="8"/>
      <c r="I270" s="9"/>
      <c r="J270" s="9"/>
      <c r="K270" s="9"/>
    </row>
    <row r="271" spans="2:14" x14ac:dyDescent="0.3">
      <c r="B271" s="110" t="s">
        <v>496</v>
      </c>
      <c r="C271" s="91" t="s">
        <v>497</v>
      </c>
      <c r="D271" s="56"/>
      <c r="E271" s="53"/>
      <c r="F271" s="11"/>
      <c r="G271" s="47">
        <f t="shared" si="23"/>
        <v>272.32</v>
      </c>
      <c r="H271" s="8"/>
      <c r="I271" s="9">
        <f t="shared" si="21"/>
        <v>0</v>
      </c>
      <c r="J271" s="9"/>
      <c r="K271" s="9">
        <f t="shared" si="22"/>
        <v>0</v>
      </c>
      <c r="N271">
        <v>573.29999999999995</v>
      </c>
    </row>
    <row r="272" spans="2:14" x14ac:dyDescent="0.3">
      <c r="B272" s="110" t="s">
        <v>498</v>
      </c>
      <c r="C272" s="91" t="s">
        <v>499</v>
      </c>
      <c r="D272" s="56"/>
      <c r="E272" s="53"/>
      <c r="F272" s="11"/>
      <c r="G272" s="47">
        <f t="shared" si="23"/>
        <v>60.08</v>
      </c>
      <c r="H272" s="8"/>
      <c r="I272" s="9">
        <f t="shared" si="21"/>
        <v>0</v>
      </c>
      <c r="J272" s="9"/>
      <c r="K272" s="9">
        <f t="shared" si="22"/>
        <v>0</v>
      </c>
      <c r="N272">
        <v>126.48</v>
      </c>
    </row>
    <row r="273" spans="2:14" x14ac:dyDescent="0.3">
      <c r="B273" s="115" t="s">
        <v>500</v>
      </c>
      <c r="C273" s="103" t="s">
        <v>171</v>
      </c>
      <c r="D273" s="56"/>
      <c r="E273" s="53"/>
      <c r="F273" s="11"/>
      <c r="G273" s="47">
        <f t="shared" si="23"/>
        <v>0</v>
      </c>
      <c r="H273" s="8"/>
      <c r="I273" s="9"/>
      <c r="J273" s="9"/>
      <c r="K273" s="9"/>
    </row>
    <row r="274" spans="2:14" x14ac:dyDescent="0.3">
      <c r="B274" s="110" t="s">
        <v>501</v>
      </c>
      <c r="C274" s="91" t="s">
        <v>502</v>
      </c>
      <c r="D274" s="56"/>
      <c r="E274" s="53"/>
      <c r="F274" s="11"/>
      <c r="G274" s="47">
        <f t="shared" si="23"/>
        <v>864.76</v>
      </c>
      <c r="H274" s="8"/>
      <c r="I274" s="9">
        <f t="shared" si="21"/>
        <v>0</v>
      </c>
      <c r="J274" s="9"/>
      <c r="K274" s="9">
        <f t="shared" si="22"/>
        <v>0</v>
      </c>
      <c r="N274">
        <v>1820.55</v>
      </c>
    </row>
    <row r="275" spans="2:14" x14ac:dyDescent="0.3">
      <c r="B275" s="110" t="s">
        <v>503</v>
      </c>
      <c r="C275" s="91" t="s">
        <v>173</v>
      </c>
      <c r="D275" s="56" t="s">
        <v>11</v>
      </c>
      <c r="E275" s="53" t="s">
        <v>11</v>
      </c>
      <c r="F275" s="11"/>
      <c r="G275" s="47">
        <f t="shared" si="23"/>
        <v>298.02999999999997</v>
      </c>
      <c r="H275" s="8"/>
      <c r="I275" s="9">
        <f t="shared" si="21"/>
        <v>0</v>
      </c>
      <c r="J275" s="9"/>
      <c r="K275" s="9">
        <f t="shared" si="22"/>
        <v>0</v>
      </c>
      <c r="N275">
        <v>627.44000000000005</v>
      </c>
    </row>
    <row r="276" spans="2:14" x14ac:dyDescent="0.3">
      <c r="B276" s="115" t="s">
        <v>504</v>
      </c>
      <c r="C276" s="103" t="s">
        <v>175</v>
      </c>
      <c r="D276" s="56" t="s">
        <v>12</v>
      </c>
      <c r="E276" s="53" t="s">
        <v>12</v>
      </c>
      <c r="F276" s="11"/>
      <c r="G276" s="47">
        <f t="shared" si="23"/>
        <v>0</v>
      </c>
      <c r="H276" s="8"/>
      <c r="I276" s="9"/>
      <c r="J276" s="9"/>
      <c r="K276" s="9"/>
    </row>
    <row r="277" spans="2:14" x14ac:dyDescent="0.3">
      <c r="B277" s="110" t="s">
        <v>505</v>
      </c>
      <c r="C277" s="91" t="s">
        <v>506</v>
      </c>
      <c r="D277" s="56" t="s">
        <v>13</v>
      </c>
      <c r="E277" s="53" t="s">
        <v>13</v>
      </c>
      <c r="F277" s="11"/>
      <c r="G277" s="47">
        <f t="shared" si="23"/>
        <v>50.78</v>
      </c>
      <c r="H277" s="8"/>
      <c r="I277" s="9">
        <f t="shared" si="21"/>
        <v>0</v>
      </c>
      <c r="J277" s="9"/>
      <c r="K277" s="9">
        <f t="shared" si="22"/>
        <v>0</v>
      </c>
      <c r="N277">
        <v>106.9</v>
      </c>
    </row>
    <row r="278" spans="2:14" x14ac:dyDescent="0.3">
      <c r="B278" s="110" t="s">
        <v>507</v>
      </c>
      <c r="C278" s="91" t="s">
        <v>508</v>
      </c>
      <c r="D278" s="56" t="s">
        <v>15</v>
      </c>
      <c r="E278" s="53" t="s">
        <v>15</v>
      </c>
      <c r="F278" s="11"/>
      <c r="G278" s="47">
        <f t="shared" si="23"/>
        <v>50.78</v>
      </c>
      <c r="H278" s="8"/>
      <c r="I278" s="9">
        <f t="shared" si="21"/>
        <v>0</v>
      </c>
      <c r="J278" s="9"/>
      <c r="K278" s="9">
        <f t="shared" si="22"/>
        <v>0</v>
      </c>
      <c r="N278">
        <v>106.9</v>
      </c>
    </row>
    <row r="279" spans="2:14" x14ac:dyDescent="0.3">
      <c r="B279" s="110" t="s">
        <v>509</v>
      </c>
      <c r="C279" s="91" t="s">
        <v>510</v>
      </c>
      <c r="D279" s="56" t="s">
        <v>16</v>
      </c>
      <c r="E279" s="53" t="s">
        <v>16</v>
      </c>
      <c r="F279" s="11"/>
      <c r="G279" s="47">
        <f t="shared" si="23"/>
        <v>50.78</v>
      </c>
      <c r="H279" s="8"/>
      <c r="I279" s="9">
        <f t="shared" si="21"/>
        <v>0</v>
      </c>
      <c r="J279" s="9"/>
      <c r="K279" s="9">
        <f t="shared" si="22"/>
        <v>0</v>
      </c>
      <c r="N279">
        <v>106.9</v>
      </c>
    </row>
    <row r="280" spans="2:14" x14ac:dyDescent="0.3">
      <c r="B280" s="110" t="s">
        <v>511</v>
      </c>
      <c r="C280" s="91" t="s">
        <v>512</v>
      </c>
      <c r="D280" s="56" t="s">
        <v>18</v>
      </c>
      <c r="E280" s="53" t="s">
        <v>18</v>
      </c>
      <c r="F280" s="11"/>
      <c r="G280" s="47">
        <f t="shared" si="23"/>
        <v>50.78</v>
      </c>
      <c r="H280" s="8"/>
      <c r="I280" s="9">
        <f t="shared" si="21"/>
        <v>0</v>
      </c>
      <c r="J280" s="9"/>
      <c r="K280" s="9">
        <f t="shared" si="22"/>
        <v>0</v>
      </c>
      <c r="N280">
        <v>106.9</v>
      </c>
    </row>
    <row r="281" spans="2:14" x14ac:dyDescent="0.3">
      <c r="B281" s="115" t="s">
        <v>513</v>
      </c>
      <c r="C281" s="103" t="s">
        <v>183</v>
      </c>
      <c r="D281" s="56" t="s">
        <v>19</v>
      </c>
      <c r="E281" s="53" t="s">
        <v>19</v>
      </c>
      <c r="F281" s="11"/>
      <c r="G281" s="47">
        <f t="shared" si="23"/>
        <v>0</v>
      </c>
      <c r="H281" s="8"/>
      <c r="I281" s="9"/>
      <c r="J281" s="9"/>
      <c r="K281" s="9"/>
    </row>
    <row r="282" spans="2:14" x14ac:dyDescent="0.3">
      <c r="B282" s="110" t="s">
        <v>514</v>
      </c>
      <c r="C282" s="91" t="s">
        <v>515</v>
      </c>
      <c r="D282" s="56" t="s">
        <v>20</v>
      </c>
      <c r="E282" s="53" t="s">
        <v>20</v>
      </c>
      <c r="F282" s="11"/>
      <c r="G282" s="47">
        <f t="shared" si="23"/>
        <v>291.68</v>
      </c>
      <c r="H282" s="8"/>
      <c r="I282" s="9">
        <f t="shared" si="21"/>
        <v>0</v>
      </c>
      <c r="J282" s="9"/>
      <c r="K282" s="9">
        <f t="shared" si="22"/>
        <v>0</v>
      </c>
      <c r="N282">
        <v>614.07000000000005</v>
      </c>
    </row>
    <row r="283" spans="2:14" x14ac:dyDescent="0.3">
      <c r="B283" s="110" t="s">
        <v>516</v>
      </c>
      <c r="C283" s="91" t="s">
        <v>517</v>
      </c>
      <c r="D283" s="56" t="s">
        <v>14</v>
      </c>
      <c r="E283" s="53" t="s">
        <v>14</v>
      </c>
      <c r="F283" s="11"/>
      <c r="G283" s="47">
        <f t="shared" si="23"/>
        <v>59.3</v>
      </c>
      <c r="H283" s="8"/>
      <c r="I283" s="9">
        <f t="shared" si="21"/>
        <v>0</v>
      </c>
      <c r="J283" s="9"/>
      <c r="K283" s="9">
        <f t="shared" si="22"/>
        <v>0</v>
      </c>
      <c r="N283">
        <v>124.85</v>
      </c>
    </row>
    <row r="284" spans="2:14" x14ac:dyDescent="0.3">
      <c r="B284" s="110" t="s">
        <v>518</v>
      </c>
      <c r="C284" s="91" t="s">
        <v>187</v>
      </c>
      <c r="D284" s="56" t="s">
        <v>21</v>
      </c>
      <c r="E284" s="53" t="s">
        <v>21</v>
      </c>
      <c r="F284" s="11"/>
      <c r="G284" s="47">
        <f t="shared" si="23"/>
        <v>97.16</v>
      </c>
      <c r="H284" s="8"/>
      <c r="I284" s="9">
        <f t="shared" si="21"/>
        <v>0</v>
      </c>
      <c r="J284" s="9"/>
      <c r="K284" s="9">
        <f t="shared" si="22"/>
        <v>0</v>
      </c>
      <c r="N284">
        <v>204.54</v>
      </c>
    </row>
    <row r="285" spans="2:14" x14ac:dyDescent="0.3">
      <c r="B285" s="115" t="s">
        <v>519</v>
      </c>
      <c r="C285" s="103" t="s">
        <v>189</v>
      </c>
      <c r="D285" s="56" t="s">
        <v>22</v>
      </c>
      <c r="E285" s="53" t="s">
        <v>22</v>
      </c>
      <c r="F285" s="11"/>
      <c r="G285" s="47">
        <f t="shared" si="23"/>
        <v>0</v>
      </c>
      <c r="H285" s="8"/>
      <c r="I285" s="9"/>
      <c r="J285" s="9"/>
      <c r="K285" s="9"/>
    </row>
    <row r="286" spans="2:14" x14ac:dyDescent="0.3">
      <c r="B286" s="110" t="s">
        <v>520</v>
      </c>
      <c r="C286" s="91" t="s">
        <v>521</v>
      </c>
      <c r="D286" s="56" t="s">
        <v>23</v>
      </c>
      <c r="E286" s="53" t="s">
        <v>23</v>
      </c>
      <c r="F286" s="11"/>
      <c r="G286" s="47">
        <f t="shared" si="23"/>
        <v>1444.61</v>
      </c>
      <c r="H286" s="8"/>
      <c r="I286" s="9">
        <f t="shared" si="21"/>
        <v>0</v>
      </c>
      <c r="J286" s="9"/>
      <c r="K286" s="9">
        <f t="shared" si="22"/>
        <v>0</v>
      </c>
      <c r="N286">
        <v>3041.28</v>
      </c>
    </row>
    <row r="287" spans="2:14" x14ac:dyDescent="0.3">
      <c r="B287" s="112"/>
      <c r="C287" s="93"/>
      <c r="D287" s="56" t="s">
        <v>24</v>
      </c>
      <c r="E287" s="53" t="s">
        <v>24</v>
      </c>
      <c r="F287" s="11"/>
      <c r="G287" s="47"/>
      <c r="H287" s="8"/>
      <c r="I287" s="9"/>
      <c r="J287" s="9"/>
      <c r="K287" s="9"/>
    </row>
    <row r="288" spans="2:14" x14ac:dyDescent="0.3">
      <c r="B288" s="113"/>
      <c r="C288" s="95" t="s">
        <v>522</v>
      </c>
      <c r="D288" s="56" t="s">
        <v>25</v>
      </c>
      <c r="E288" s="53" t="s">
        <v>25</v>
      </c>
      <c r="F288" s="11"/>
      <c r="G288" s="78">
        <f>SUM(G263:G286)</f>
        <v>28922.849999999995</v>
      </c>
      <c r="H288" s="8"/>
      <c r="I288" s="9"/>
      <c r="J288" s="9"/>
      <c r="K288" s="9"/>
      <c r="N288">
        <v>60890.200000000012</v>
      </c>
    </row>
    <row r="289" spans="2:14" x14ac:dyDescent="0.3">
      <c r="B289" s="114"/>
      <c r="C289" s="97"/>
      <c r="D289" s="56" t="s">
        <v>26</v>
      </c>
      <c r="E289" s="53" t="s">
        <v>26</v>
      </c>
      <c r="F289" s="11"/>
      <c r="G289" s="47"/>
      <c r="H289" s="8"/>
      <c r="I289" s="9"/>
      <c r="J289" s="9"/>
      <c r="K289" s="9"/>
    </row>
    <row r="290" spans="2:14" x14ac:dyDescent="0.3">
      <c r="B290" s="108" t="s">
        <v>523</v>
      </c>
      <c r="C290" s="87" t="s">
        <v>524</v>
      </c>
      <c r="D290" s="56" t="s">
        <v>27</v>
      </c>
      <c r="E290" s="53" t="s">
        <v>27</v>
      </c>
      <c r="F290" s="11"/>
      <c r="G290" s="47"/>
      <c r="H290" s="8"/>
      <c r="I290" s="9"/>
      <c r="J290" s="9"/>
      <c r="K290" s="9"/>
    </row>
    <row r="291" spans="2:14" x14ac:dyDescent="0.3">
      <c r="B291" s="109" t="s">
        <v>525</v>
      </c>
      <c r="C291" s="99" t="s">
        <v>526</v>
      </c>
      <c r="D291" s="56" t="s">
        <v>28</v>
      </c>
      <c r="E291" s="53" t="s">
        <v>28</v>
      </c>
      <c r="F291" s="11"/>
      <c r="G291" s="47"/>
      <c r="H291" s="8"/>
      <c r="I291" s="9"/>
      <c r="J291" s="9"/>
      <c r="K291" s="9"/>
    </row>
    <row r="292" spans="2:14" x14ac:dyDescent="0.3">
      <c r="B292" s="110" t="s">
        <v>527</v>
      </c>
      <c r="C292" s="91" t="s">
        <v>528</v>
      </c>
      <c r="D292" s="56"/>
      <c r="E292" s="53"/>
      <c r="F292" s="11"/>
      <c r="G292" s="47">
        <f t="shared" ref="G292:G316" si="24">+ROUND(N292*0.475,2)</f>
        <v>5187.67</v>
      </c>
      <c r="H292" s="8"/>
      <c r="I292" s="9">
        <f t="shared" si="21"/>
        <v>0</v>
      </c>
      <c r="J292" s="9"/>
      <c r="K292" s="9">
        <f t="shared" si="22"/>
        <v>0</v>
      </c>
      <c r="N292">
        <v>10921.41</v>
      </c>
    </row>
    <row r="293" spans="2:14" x14ac:dyDescent="0.3">
      <c r="B293" s="110" t="s">
        <v>529</v>
      </c>
      <c r="C293" s="91" t="s">
        <v>155</v>
      </c>
      <c r="D293" s="56"/>
      <c r="E293" s="53"/>
      <c r="F293" s="11"/>
      <c r="G293" s="47">
        <f t="shared" si="24"/>
        <v>1513.08</v>
      </c>
      <c r="H293" s="8"/>
      <c r="I293" s="9">
        <f t="shared" si="21"/>
        <v>0</v>
      </c>
      <c r="J293" s="9"/>
      <c r="K293" s="9">
        <f t="shared" si="22"/>
        <v>0</v>
      </c>
      <c r="N293">
        <v>3185.44</v>
      </c>
    </row>
    <row r="294" spans="2:14" x14ac:dyDescent="0.3">
      <c r="B294" s="110" t="s">
        <v>530</v>
      </c>
      <c r="C294" s="91" t="s">
        <v>157</v>
      </c>
      <c r="D294" s="56"/>
      <c r="E294" s="53"/>
      <c r="F294" s="11"/>
      <c r="G294" s="47">
        <f t="shared" si="24"/>
        <v>769.99</v>
      </c>
      <c r="H294" s="8"/>
      <c r="I294" s="9">
        <f t="shared" si="21"/>
        <v>0</v>
      </c>
      <c r="J294" s="9"/>
      <c r="K294" s="9">
        <f t="shared" si="22"/>
        <v>0</v>
      </c>
      <c r="N294">
        <v>1621.03</v>
      </c>
    </row>
    <row r="295" spans="2:14" x14ac:dyDescent="0.3">
      <c r="B295" s="110" t="s">
        <v>531</v>
      </c>
      <c r="C295" s="91" t="s">
        <v>204</v>
      </c>
      <c r="D295" s="56"/>
      <c r="E295" s="53"/>
      <c r="F295" s="11"/>
      <c r="G295" s="47">
        <f t="shared" si="24"/>
        <v>2804.44</v>
      </c>
      <c r="H295" s="8"/>
      <c r="I295" s="9">
        <f t="shared" si="21"/>
        <v>0</v>
      </c>
      <c r="J295" s="9"/>
      <c r="K295" s="9">
        <f t="shared" si="22"/>
        <v>0</v>
      </c>
      <c r="N295">
        <v>5904.08</v>
      </c>
    </row>
    <row r="296" spans="2:14" x14ac:dyDescent="0.3">
      <c r="B296" s="111" t="s">
        <v>532</v>
      </c>
      <c r="C296" s="101" t="s">
        <v>210</v>
      </c>
      <c r="D296" s="56"/>
      <c r="E296" s="53"/>
      <c r="F296" s="11"/>
      <c r="G296" s="47">
        <f t="shared" si="24"/>
        <v>0</v>
      </c>
      <c r="H296" s="8"/>
      <c r="I296" s="9"/>
      <c r="J296" s="9"/>
      <c r="K296" s="9"/>
    </row>
    <row r="297" spans="2:14" x14ac:dyDescent="0.3">
      <c r="B297" s="110" t="s">
        <v>533</v>
      </c>
      <c r="C297" s="91" t="s">
        <v>200</v>
      </c>
      <c r="D297" s="56"/>
      <c r="E297" s="53"/>
      <c r="F297" s="11"/>
      <c r="G297" s="47">
        <f t="shared" si="24"/>
        <v>122.44</v>
      </c>
      <c r="H297" s="8"/>
      <c r="I297" s="9">
        <f t="shared" si="21"/>
        <v>0</v>
      </c>
      <c r="J297" s="9"/>
      <c r="K297" s="9">
        <f t="shared" si="22"/>
        <v>0</v>
      </c>
      <c r="N297">
        <v>257.76</v>
      </c>
    </row>
    <row r="298" spans="2:14" x14ac:dyDescent="0.3">
      <c r="B298" s="110" t="s">
        <v>534</v>
      </c>
      <c r="C298" s="91" t="s">
        <v>155</v>
      </c>
      <c r="D298" s="56"/>
      <c r="E298" s="53"/>
      <c r="F298" s="11"/>
      <c r="G298" s="47">
        <f t="shared" si="24"/>
        <v>24.5</v>
      </c>
      <c r="H298" s="8"/>
      <c r="I298" s="9">
        <f t="shared" si="21"/>
        <v>0</v>
      </c>
      <c r="J298" s="9"/>
      <c r="K298" s="9">
        <f t="shared" si="22"/>
        <v>0</v>
      </c>
      <c r="N298">
        <v>51.57</v>
      </c>
    </row>
    <row r="299" spans="2:14" x14ac:dyDescent="0.3">
      <c r="B299" s="110" t="s">
        <v>535</v>
      </c>
      <c r="C299" s="91" t="s">
        <v>157</v>
      </c>
      <c r="D299" s="56"/>
      <c r="E299" s="53"/>
      <c r="F299" s="11"/>
      <c r="G299" s="47">
        <f t="shared" si="24"/>
        <v>20.78</v>
      </c>
      <c r="H299" s="8"/>
      <c r="I299" s="9">
        <f t="shared" si="21"/>
        <v>0</v>
      </c>
      <c r="J299" s="9"/>
      <c r="K299" s="9">
        <f t="shared" si="22"/>
        <v>0</v>
      </c>
      <c r="N299">
        <v>43.74</v>
      </c>
    </row>
    <row r="300" spans="2:14" x14ac:dyDescent="0.3">
      <c r="B300" s="110" t="s">
        <v>536</v>
      </c>
      <c r="C300" s="91" t="s">
        <v>215</v>
      </c>
      <c r="D300" s="56"/>
      <c r="E300" s="53"/>
      <c r="F300" s="11"/>
      <c r="G300" s="47">
        <f t="shared" si="24"/>
        <v>80.709999999999994</v>
      </c>
      <c r="H300" s="8"/>
      <c r="I300" s="9">
        <f t="shared" si="21"/>
        <v>0</v>
      </c>
      <c r="J300" s="9"/>
      <c r="K300" s="9">
        <f t="shared" si="22"/>
        <v>0</v>
      </c>
      <c r="N300">
        <v>169.91</v>
      </c>
    </row>
    <row r="301" spans="2:14" x14ac:dyDescent="0.3">
      <c r="B301" s="111" t="s">
        <v>537</v>
      </c>
      <c r="C301" s="101" t="s">
        <v>217</v>
      </c>
      <c r="D301" s="56"/>
      <c r="E301" s="53"/>
      <c r="F301" s="11"/>
      <c r="G301" s="47">
        <f t="shared" si="24"/>
        <v>0</v>
      </c>
      <c r="H301" s="8"/>
      <c r="I301" s="9"/>
      <c r="J301" s="9"/>
      <c r="K301" s="9"/>
    </row>
    <row r="302" spans="2:14" x14ac:dyDescent="0.3">
      <c r="B302" s="110" t="s">
        <v>538</v>
      </c>
      <c r="C302" s="91" t="s">
        <v>200</v>
      </c>
      <c r="D302" s="56"/>
      <c r="E302" s="53"/>
      <c r="F302" s="11"/>
      <c r="G302" s="47">
        <f t="shared" si="24"/>
        <v>268.32</v>
      </c>
      <c r="H302" s="8"/>
      <c r="I302" s="9">
        <f t="shared" si="21"/>
        <v>0</v>
      </c>
      <c r="J302" s="9"/>
      <c r="K302" s="9">
        <f t="shared" si="22"/>
        <v>0</v>
      </c>
      <c r="N302">
        <v>564.88</v>
      </c>
    </row>
    <row r="303" spans="2:14" x14ac:dyDescent="0.3">
      <c r="B303" s="110" t="s">
        <v>539</v>
      </c>
      <c r="C303" s="91" t="s">
        <v>157</v>
      </c>
      <c r="D303" s="56"/>
      <c r="E303" s="53"/>
      <c r="F303" s="11"/>
      <c r="G303" s="47">
        <f t="shared" si="24"/>
        <v>106.99</v>
      </c>
      <c r="H303" s="8"/>
      <c r="I303" s="9">
        <f t="shared" si="21"/>
        <v>0</v>
      </c>
      <c r="J303" s="9"/>
      <c r="K303" s="9">
        <f t="shared" si="22"/>
        <v>0</v>
      </c>
      <c r="N303">
        <v>225.24</v>
      </c>
    </row>
    <row r="304" spans="2:14" x14ac:dyDescent="0.3">
      <c r="B304" s="110" t="s">
        <v>540</v>
      </c>
      <c r="C304" s="91" t="s">
        <v>221</v>
      </c>
      <c r="D304" s="56"/>
      <c r="E304" s="53"/>
      <c r="F304" s="11"/>
      <c r="G304" s="47">
        <f t="shared" si="24"/>
        <v>68.099999999999994</v>
      </c>
      <c r="H304" s="8"/>
      <c r="I304" s="9">
        <f t="shared" si="21"/>
        <v>0</v>
      </c>
      <c r="J304" s="9"/>
      <c r="K304" s="9">
        <f t="shared" si="22"/>
        <v>0</v>
      </c>
      <c r="N304">
        <v>143.36000000000001</v>
      </c>
    </row>
    <row r="305" spans="2:14" x14ac:dyDescent="0.3">
      <c r="B305" s="111" t="s">
        <v>541</v>
      </c>
      <c r="C305" s="101" t="s">
        <v>223</v>
      </c>
      <c r="D305" s="56"/>
      <c r="E305" s="53"/>
      <c r="F305" s="11"/>
      <c r="G305" s="47">
        <f t="shared" si="24"/>
        <v>0</v>
      </c>
      <c r="H305" s="8"/>
      <c r="I305" s="9"/>
      <c r="J305" s="9"/>
      <c r="K305" s="9"/>
    </row>
    <row r="306" spans="2:14" x14ac:dyDescent="0.3">
      <c r="B306" s="110" t="s">
        <v>542</v>
      </c>
      <c r="C306" s="91" t="s">
        <v>200</v>
      </c>
      <c r="D306" s="75"/>
      <c r="E306" s="76"/>
      <c r="F306" s="77"/>
      <c r="G306" s="47">
        <f t="shared" si="24"/>
        <v>947.12</v>
      </c>
      <c r="H306" s="8"/>
      <c r="I306" s="9">
        <f t="shared" si="21"/>
        <v>0</v>
      </c>
      <c r="J306" s="9"/>
      <c r="K306" s="9">
        <f t="shared" si="22"/>
        <v>0</v>
      </c>
      <c r="N306">
        <v>1993.94</v>
      </c>
    </row>
    <row r="307" spans="2:14" x14ac:dyDescent="0.3">
      <c r="B307" s="110" t="s">
        <v>543</v>
      </c>
      <c r="C307" s="91" t="s">
        <v>157</v>
      </c>
      <c r="D307" s="58"/>
      <c r="E307" s="59"/>
      <c r="F307" s="60"/>
      <c r="G307" s="47">
        <f t="shared" si="24"/>
        <v>415.18</v>
      </c>
      <c r="H307" s="8"/>
      <c r="I307" s="9">
        <f t="shared" si="21"/>
        <v>0</v>
      </c>
      <c r="J307" s="9"/>
      <c r="K307" s="9">
        <f t="shared" si="22"/>
        <v>0</v>
      </c>
      <c r="N307">
        <v>874.07</v>
      </c>
    </row>
    <row r="308" spans="2:14" x14ac:dyDescent="0.3">
      <c r="B308" s="110" t="s">
        <v>544</v>
      </c>
      <c r="C308" s="91" t="s">
        <v>227</v>
      </c>
      <c r="D308" s="58"/>
      <c r="E308" s="59"/>
      <c r="F308" s="60"/>
      <c r="G308" s="47">
        <f t="shared" si="24"/>
        <v>299.58999999999997</v>
      </c>
      <c r="H308" s="8"/>
      <c r="I308" s="9">
        <f t="shared" si="21"/>
        <v>0</v>
      </c>
      <c r="J308" s="9"/>
      <c r="K308" s="9">
        <f t="shared" si="22"/>
        <v>0</v>
      </c>
      <c r="N308">
        <v>630.72</v>
      </c>
    </row>
    <row r="309" spans="2:14" x14ac:dyDescent="0.3">
      <c r="B309" s="111" t="s">
        <v>545</v>
      </c>
      <c r="C309" s="101" t="s">
        <v>546</v>
      </c>
      <c r="D309" s="58"/>
      <c r="E309" s="59"/>
      <c r="F309" s="60"/>
      <c r="G309" s="47">
        <f t="shared" si="24"/>
        <v>0</v>
      </c>
      <c r="H309" s="8"/>
      <c r="I309" s="9"/>
      <c r="J309" s="9"/>
      <c r="K309" s="9"/>
    </row>
    <row r="310" spans="2:14" x14ac:dyDescent="0.3">
      <c r="B310" s="110" t="s">
        <v>547</v>
      </c>
      <c r="C310" s="91" t="s">
        <v>548</v>
      </c>
      <c r="D310" s="58"/>
      <c r="E310" s="59"/>
      <c r="F310" s="60"/>
      <c r="G310" s="47">
        <f t="shared" si="24"/>
        <v>6465.8</v>
      </c>
      <c r="H310" s="8"/>
      <c r="I310" s="9">
        <f t="shared" si="21"/>
        <v>0</v>
      </c>
      <c r="J310" s="9"/>
      <c r="K310" s="9">
        <f t="shared" si="22"/>
        <v>0</v>
      </c>
      <c r="N310">
        <v>13612.21</v>
      </c>
    </row>
    <row r="311" spans="2:14" x14ac:dyDescent="0.3">
      <c r="B311" s="111" t="s">
        <v>549</v>
      </c>
      <c r="C311" s="101" t="s">
        <v>236</v>
      </c>
      <c r="D311" s="58"/>
      <c r="E311" s="59"/>
      <c r="F311" s="60"/>
      <c r="G311" s="47">
        <f t="shared" si="24"/>
        <v>0</v>
      </c>
      <c r="H311" s="8"/>
      <c r="I311" s="9"/>
      <c r="J311" s="9"/>
      <c r="K311" s="9"/>
    </row>
    <row r="312" spans="2:14" x14ac:dyDescent="0.3">
      <c r="B312" s="115" t="s">
        <v>550</v>
      </c>
      <c r="C312" s="103" t="s">
        <v>244</v>
      </c>
      <c r="D312" s="58"/>
      <c r="E312" s="59"/>
      <c r="F312" s="60"/>
      <c r="G312" s="47">
        <f t="shared" si="24"/>
        <v>0</v>
      </c>
      <c r="H312" s="8"/>
      <c r="I312" s="9"/>
      <c r="J312" s="9"/>
      <c r="K312" s="9"/>
    </row>
    <row r="313" spans="2:14" x14ac:dyDescent="0.3">
      <c r="B313" s="110" t="s">
        <v>551</v>
      </c>
      <c r="C313" s="91" t="s">
        <v>246</v>
      </c>
      <c r="D313" s="58"/>
      <c r="E313" s="59"/>
      <c r="F313" s="60"/>
      <c r="G313" s="47">
        <f t="shared" si="24"/>
        <v>4919.4399999999996</v>
      </c>
      <c r="H313" s="8"/>
      <c r="I313" s="9">
        <f t="shared" si="21"/>
        <v>0</v>
      </c>
      <c r="J313" s="9"/>
      <c r="K313" s="9">
        <f t="shared" si="22"/>
        <v>0</v>
      </c>
      <c r="N313">
        <v>10356.709999999999</v>
      </c>
    </row>
    <row r="314" spans="2:14" x14ac:dyDescent="0.3">
      <c r="B314" s="115" t="s">
        <v>552</v>
      </c>
      <c r="C314" s="103" t="s">
        <v>248</v>
      </c>
      <c r="D314" s="58"/>
      <c r="E314" s="59"/>
      <c r="F314" s="60"/>
      <c r="G314" s="47">
        <f t="shared" si="24"/>
        <v>0</v>
      </c>
      <c r="H314" s="8"/>
      <c r="I314" s="9"/>
      <c r="J314" s="9"/>
      <c r="K314" s="9"/>
    </row>
    <row r="315" spans="2:14" x14ac:dyDescent="0.3">
      <c r="B315" s="110" t="s">
        <v>553</v>
      </c>
      <c r="C315" s="91" t="s">
        <v>250</v>
      </c>
      <c r="D315" s="58"/>
      <c r="E315" s="59"/>
      <c r="F315" s="60"/>
      <c r="G315" s="47">
        <f t="shared" si="24"/>
        <v>2524.5300000000002</v>
      </c>
      <c r="H315" s="8"/>
      <c r="I315" s="9">
        <f t="shared" si="21"/>
        <v>0</v>
      </c>
      <c r="J315" s="9"/>
      <c r="K315" s="9">
        <f t="shared" si="22"/>
        <v>0</v>
      </c>
      <c r="N315">
        <v>5314.81</v>
      </c>
    </row>
    <row r="316" spans="2:14" x14ac:dyDescent="0.3">
      <c r="B316" s="110" t="s">
        <v>554</v>
      </c>
      <c r="C316" s="91" t="s">
        <v>252</v>
      </c>
      <c r="D316" s="58"/>
      <c r="E316" s="59"/>
      <c r="F316" s="60"/>
      <c r="G316" s="47">
        <f t="shared" si="24"/>
        <v>4318.6499999999996</v>
      </c>
      <c r="H316" s="8"/>
      <c r="I316" s="9">
        <f t="shared" si="21"/>
        <v>0</v>
      </c>
      <c r="J316" s="9"/>
      <c r="K316" s="9">
        <f t="shared" si="22"/>
        <v>0</v>
      </c>
      <c r="N316">
        <v>9091.89</v>
      </c>
    </row>
    <row r="317" spans="2:14" x14ac:dyDescent="0.3">
      <c r="B317" s="112"/>
      <c r="C317" s="93"/>
      <c r="D317" s="58"/>
      <c r="E317" s="59"/>
      <c r="F317" s="60"/>
      <c r="G317" s="61"/>
      <c r="H317" s="8"/>
      <c r="I317" s="9"/>
      <c r="J317" s="9"/>
      <c r="K317" s="9"/>
    </row>
    <row r="318" spans="2:14" x14ac:dyDescent="0.3">
      <c r="B318" s="113"/>
      <c r="C318" s="95" t="s">
        <v>555</v>
      </c>
      <c r="D318" s="58"/>
      <c r="E318" s="59"/>
      <c r="F318" s="60"/>
      <c r="G318" s="107">
        <f>SUM(G292:G316)</f>
        <v>30857.33</v>
      </c>
      <c r="H318" s="8"/>
      <c r="I318" s="9"/>
      <c r="J318" s="9"/>
      <c r="K318" s="9"/>
      <c r="N318">
        <v>64962.77</v>
      </c>
    </row>
    <row r="319" spans="2:14" x14ac:dyDescent="0.3">
      <c r="B319" s="114"/>
      <c r="C319" s="97"/>
      <c r="D319" s="58"/>
      <c r="E319" s="59"/>
      <c r="F319" s="60"/>
      <c r="G319" s="61"/>
      <c r="H319" s="106"/>
      <c r="I319" s="9"/>
      <c r="J319" s="9"/>
      <c r="K319" s="9"/>
    </row>
    <row r="320" spans="2:14" x14ac:dyDescent="0.3">
      <c r="B320" s="108" t="s">
        <v>556</v>
      </c>
      <c r="C320" s="87" t="s">
        <v>557</v>
      </c>
      <c r="D320" s="58"/>
      <c r="E320" s="59"/>
      <c r="F320" s="60"/>
      <c r="G320" s="61"/>
      <c r="H320" s="106"/>
      <c r="I320" s="9"/>
      <c r="J320" s="9"/>
      <c r="K320" s="9"/>
    </row>
    <row r="321" spans="2:14" x14ac:dyDescent="0.3">
      <c r="B321" s="109" t="s">
        <v>558</v>
      </c>
      <c r="C321" s="99" t="s">
        <v>559</v>
      </c>
      <c r="D321" s="58"/>
      <c r="E321" s="59"/>
      <c r="F321" s="60"/>
      <c r="G321" s="61"/>
      <c r="H321" s="106"/>
      <c r="I321" s="9"/>
      <c r="J321" s="9"/>
      <c r="K321" s="9"/>
    </row>
    <row r="322" spans="2:14" x14ac:dyDescent="0.3">
      <c r="B322" s="110" t="s">
        <v>560</v>
      </c>
      <c r="C322" s="91" t="s">
        <v>561</v>
      </c>
      <c r="D322" s="58"/>
      <c r="E322" s="59"/>
      <c r="F322" s="60"/>
      <c r="G322" s="47">
        <f t="shared" ref="G322:G373" si="25">+ROUND(N322*0.475,2)</f>
        <v>634.64</v>
      </c>
      <c r="H322" s="106"/>
      <c r="I322" s="9">
        <f t="shared" si="21"/>
        <v>0</v>
      </c>
      <c r="J322" s="9"/>
      <c r="K322" s="9">
        <f t="shared" si="22"/>
        <v>0</v>
      </c>
      <c r="N322">
        <v>1336.08</v>
      </c>
    </row>
    <row r="323" spans="2:14" x14ac:dyDescent="0.3">
      <c r="B323" s="110" t="s">
        <v>562</v>
      </c>
      <c r="C323" s="91" t="s">
        <v>563</v>
      </c>
      <c r="D323" s="58"/>
      <c r="E323" s="59"/>
      <c r="F323" s="60"/>
      <c r="G323" s="47">
        <f t="shared" si="25"/>
        <v>23223.200000000001</v>
      </c>
      <c r="H323" s="106"/>
      <c r="I323" s="9">
        <f t="shared" si="21"/>
        <v>0</v>
      </c>
      <c r="J323" s="9"/>
      <c r="K323" s="9">
        <f t="shared" si="22"/>
        <v>0</v>
      </c>
      <c r="N323">
        <v>48890.95</v>
      </c>
    </row>
    <row r="324" spans="2:14" x14ac:dyDescent="0.3">
      <c r="B324" s="110" t="s">
        <v>564</v>
      </c>
      <c r="C324" s="91" t="s">
        <v>565</v>
      </c>
      <c r="D324" s="58"/>
      <c r="E324" s="59"/>
      <c r="F324" s="60"/>
      <c r="G324" s="47">
        <f t="shared" si="25"/>
        <v>1492.26</v>
      </c>
      <c r="H324" s="106"/>
      <c r="I324" s="9">
        <f t="shared" si="21"/>
        <v>0</v>
      </c>
      <c r="J324" s="9"/>
      <c r="K324" s="9">
        <f t="shared" si="22"/>
        <v>0</v>
      </c>
      <c r="N324">
        <v>3141.6</v>
      </c>
    </row>
    <row r="325" spans="2:14" x14ac:dyDescent="0.3">
      <c r="B325" s="110" t="s">
        <v>566</v>
      </c>
      <c r="C325" s="91" t="s">
        <v>281</v>
      </c>
      <c r="D325" s="58"/>
      <c r="E325" s="59"/>
      <c r="F325" s="60"/>
      <c r="G325" s="47">
        <f t="shared" si="25"/>
        <v>653.08000000000004</v>
      </c>
      <c r="H325" s="106"/>
      <c r="I325" s="9">
        <f t="shared" si="21"/>
        <v>0</v>
      </c>
      <c r="J325" s="9"/>
      <c r="K325" s="9">
        <f t="shared" si="22"/>
        <v>0</v>
      </c>
      <c r="N325">
        <v>1374.91</v>
      </c>
    </row>
    <row r="326" spans="2:14" x14ac:dyDescent="0.3">
      <c r="B326" s="110" t="s">
        <v>567</v>
      </c>
      <c r="C326" s="91" t="s">
        <v>283</v>
      </c>
      <c r="D326" s="58"/>
      <c r="E326" s="59"/>
      <c r="F326" s="60"/>
      <c r="G326" s="47">
        <f t="shared" si="25"/>
        <v>895.71</v>
      </c>
      <c r="H326" s="106"/>
      <c r="I326" s="9">
        <f t="shared" si="21"/>
        <v>0</v>
      </c>
      <c r="J326" s="9"/>
      <c r="K326" s="9">
        <f t="shared" si="22"/>
        <v>0</v>
      </c>
      <c r="N326">
        <v>1885.7</v>
      </c>
    </row>
    <row r="327" spans="2:14" x14ac:dyDescent="0.3">
      <c r="B327" s="110" t="s">
        <v>568</v>
      </c>
      <c r="C327" s="91" t="s">
        <v>285</v>
      </c>
      <c r="D327" s="58"/>
      <c r="E327" s="59"/>
      <c r="F327" s="60"/>
      <c r="G327" s="47">
        <f t="shared" si="25"/>
        <v>621.98</v>
      </c>
      <c r="H327" s="106"/>
      <c r="I327" s="9">
        <f t="shared" si="21"/>
        <v>0</v>
      </c>
      <c r="J327" s="9"/>
      <c r="K327" s="9">
        <f t="shared" si="22"/>
        <v>0</v>
      </c>
      <c r="N327">
        <v>1309.44</v>
      </c>
    </row>
    <row r="328" spans="2:14" x14ac:dyDescent="0.3">
      <c r="B328" s="111" t="s">
        <v>569</v>
      </c>
      <c r="C328" s="101" t="s">
        <v>275</v>
      </c>
      <c r="D328" s="58"/>
      <c r="E328" s="59"/>
      <c r="F328" s="60"/>
      <c r="G328" s="47">
        <f t="shared" si="25"/>
        <v>0</v>
      </c>
      <c r="H328" s="106"/>
      <c r="I328" s="9"/>
      <c r="J328" s="9"/>
      <c r="K328" s="9"/>
    </row>
    <row r="329" spans="2:14" x14ac:dyDescent="0.3">
      <c r="B329" s="110" t="s">
        <v>570</v>
      </c>
      <c r="C329" s="91" t="s">
        <v>277</v>
      </c>
      <c r="D329" s="58"/>
      <c r="E329" s="59"/>
      <c r="F329" s="60"/>
      <c r="G329" s="47">
        <f t="shared" si="25"/>
        <v>604.41999999999996</v>
      </c>
      <c r="H329" s="106"/>
      <c r="I329" s="9">
        <f t="shared" si="21"/>
        <v>0</v>
      </c>
      <c r="J329" s="9"/>
      <c r="K329" s="9">
        <f t="shared" si="22"/>
        <v>0</v>
      </c>
      <c r="N329">
        <v>1272.46</v>
      </c>
    </row>
    <row r="330" spans="2:14" x14ac:dyDescent="0.3">
      <c r="B330" s="110" t="s">
        <v>571</v>
      </c>
      <c r="C330" s="91" t="s">
        <v>279</v>
      </c>
      <c r="D330" s="58"/>
      <c r="E330" s="59"/>
      <c r="F330" s="60"/>
      <c r="G330" s="47">
        <f t="shared" si="25"/>
        <v>10633</v>
      </c>
      <c r="H330" s="106"/>
      <c r="I330" s="9">
        <f t="shared" si="21"/>
        <v>0</v>
      </c>
      <c r="J330" s="9"/>
      <c r="K330" s="9">
        <f t="shared" si="22"/>
        <v>0</v>
      </c>
      <c r="N330">
        <v>22385.27</v>
      </c>
    </row>
    <row r="331" spans="2:14" x14ac:dyDescent="0.3">
      <c r="B331" s="110" t="s">
        <v>572</v>
      </c>
      <c r="C331" s="91" t="s">
        <v>565</v>
      </c>
      <c r="D331" s="58"/>
      <c r="E331" s="59"/>
      <c r="F331" s="60"/>
      <c r="G331" s="47">
        <f t="shared" si="25"/>
        <v>877.8</v>
      </c>
      <c r="H331" s="106"/>
      <c r="I331" s="9">
        <f t="shared" si="21"/>
        <v>0</v>
      </c>
      <c r="J331" s="9"/>
      <c r="K331" s="9">
        <f t="shared" si="22"/>
        <v>0</v>
      </c>
      <c r="N331">
        <v>1848</v>
      </c>
    </row>
    <row r="332" spans="2:14" x14ac:dyDescent="0.3">
      <c r="B332" s="110" t="s">
        <v>573</v>
      </c>
      <c r="C332" s="91" t="s">
        <v>281</v>
      </c>
      <c r="D332" s="58"/>
      <c r="E332" s="59"/>
      <c r="F332" s="60"/>
      <c r="G332" s="47">
        <f t="shared" si="25"/>
        <v>171.05</v>
      </c>
      <c r="H332" s="106"/>
      <c r="I332" s="9">
        <f t="shared" si="21"/>
        <v>0</v>
      </c>
      <c r="J332" s="9"/>
      <c r="K332" s="9">
        <f t="shared" si="22"/>
        <v>0</v>
      </c>
      <c r="N332">
        <v>360.1</v>
      </c>
    </row>
    <row r="333" spans="2:14" x14ac:dyDescent="0.3">
      <c r="B333" s="110" t="s">
        <v>574</v>
      </c>
      <c r="C333" s="91" t="s">
        <v>283</v>
      </c>
      <c r="D333" s="58"/>
      <c r="E333" s="59"/>
      <c r="F333" s="60"/>
      <c r="G333" s="47">
        <f t="shared" si="25"/>
        <v>262.41000000000003</v>
      </c>
      <c r="H333" s="106"/>
      <c r="I333" s="9">
        <f t="shared" ref="I333:I396" si="26">ROUND(H333*G333,2)</f>
        <v>0</v>
      </c>
      <c r="J333" s="9"/>
      <c r="K333" s="9">
        <f t="shared" ref="K333:K396" si="27">ROUND(I333-J333,2)</f>
        <v>0</v>
      </c>
      <c r="N333">
        <v>552.45000000000005</v>
      </c>
    </row>
    <row r="334" spans="2:14" x14ac:dyDescent="0.3">
      <c r="B334" s="110" t="s">
        <v>575</v>
      </c>
      <c r="C334" s="91" t="s">
        <v>285</v>
      </c>
      <c r="D334" s="58"/>
      <c r="E334" s="59"/>
      <c r="F334" s="60"/>
      <c r="G334" s="47">
        <f t="shared" si="25"/>
        <v>621.98</v>
      </c>
      <c r="H334" s="106"/>
      <c r="I334" s="9">
        <f t="shared" si="26"/>
        <v>0</v>
      </c>
      <c r="J334" s="9"/>
      <c r="K334" s="9">
        <f t="shared" si="27"/>
        <v>0</v>
      </c>
      <c r="N334">
        <v>1309.44</v>
      </c>
    </row>
    <row r="335" spans="2:14" x14ac:dyDescent="0.3">
      <c r="B335" s="111" t="s">
        <v>576</v>
      </c>
      <c r="C335" s="101" t="s">
        <v>577</v>
      </c>
      <c r="D335" s="58"/>
      <c r="E335" s="59"/>
      <c r="F335" s="60"/>
      <c r="G335" s="47">
        <f t="shared" si="25"/>
        <v>0</v>
      </c>
      <c r="H335" s="106"/>
      <c r="I335" s="9"/>
      <c r="J335" s="9"/>
      <c r="K335" s="9"/>
    </row>
    <row r="336" spans="2:14" x14ac:dyDescent="0.3">
      <c r="B336" s="110" t="s">
        <v>578</v>
      </c>
      <c r="C336" s="91" t="s">
        <v>563</v>
      </c>
      <c r="D336" s="58"/>
      <c r="E336" s="59"/>
      <c r="F336" s="60"/>
      <c r="G336" s="47">
        <f t="shared" si="25"/>
        <v>11800.3</v>
      </c>
      <c r="H336" s="106"/>
      <c r="I336" s="9">
        <f t="shared" si="26"/>
        <v>0</v>
      </c>
      <c r="J336" s="9"/>
      <c r="K336" s="9">
        <f t="shared" si="27"/>
        <v>0</v>
      </c>
      <c r="N336">
        <v>24842.74</v>
      </c>
    </row>
    <row r="337" spans="2:14" x14ac:dyDescent="0.3">
      <c r="B337" s="111" t="s">
        <v>579</v>
      </c>
      <c r="C337" s="101" t="s">
        <v>300</v>
      </c>
      <c r="D337" s="58"/>
      <c r="E337" s="59"/>
      <c r="F337" s="60"/>
      <c r="G337" s="47">
        <f t="shared" si="25"/>
        <v>0</v>
      </c>
      <c r="H337" s="106"/>
      <c r="I337" s="9"/>
      <c r="J337" s="9"/>
      <c r="K337" s="9"/>
    </row>
    <row r="338" spans="2:14" x14ac:dyDescent="0.3">
      <c r="B338" s="110" t="s">
        <v>580</v>
      </c>
      <c r="C338" s="91" t="s">
        <v>200</v>
      </c>
      <c r="D338" s="58"/>
      <c r="E338" s="59"/>
      <c r="F338" s="60"/>
      <c r="G338" s="47">
        <f t="shared" si="25"/>
        <v>486.31</v>
      </c>
      <c r="H338" s="106"/>
      <c r="I338" s="9">
        <f t="shared" si="26"/>
        <v>0</v>
      </c>
      <c r="J338" s="9"/>
      <c r="K338" s="9">
        <f t="shared" si="27"/>
        <v>0</v>
      </c>
      <c r="N338">
        <v>1023.82</v>
      </c>
    </row>
    <row r="339" spans="2:14" x14ac:dyDescent="0.3">
      <c r="B339" s="110" t="s">
        <v>581</v>
      </c>
      <c r="C339" s="91" t="s">
        <v>582</v>
      </c>
      <c r="D339" s="58"/>
      <c r="E339" s="59"/>
      <c r="F339" s="60"/>
      <c r="G339" s="47">
        <f t="shared" si="25"/>
        <v>508.84</v>
      </c>
      <c r="H339" s="106"/>
      <c r="I339" s="9">
        <f t="shared" si="26"/>
        <v>0</v>
      </c>
      <c r="J339" s="9"/>
      <c r="K339" s="9">
        <f t="shared" si="27"/>
        <v>0</v>
      </c>
      <c r="N339">
        <v>1071.24</v>
      </c>
    </row>
    <row r="340" spans="2:14" x14ac:dyDescent="0.3">
      <c r="B340" s="110" t="s">
        <v>583</v>
      </c>
      <c r="C340" s="91" t="s">
        <v>157</v>
      </c>
      <c r="D340" s="58"/>
      <c r="E340" s="59"/>
      <c r="F340" s="60"/>
      <c r="G340" s="47">
        <f t="shared" si="25"/>
        <v>335.67</v>
      </c>
      <c r="H340" s="106"/>
      <c r="I340" s="9">
        <f t="shared" si="26"/>
        <v>0</v>
      </c>
      <c r="J340" s="9"/>
      <c r="K340" s="9">
        <f t="shared" si="27"/>
        <v>0</v>
      </c>
      <c r="N340">
        <v>706.67</v>
      </c>
    </row>
    <row r="341" spans="2:14" x14ac:dyDescent="0.3">
      <c r="B341" s="110" t="s">
        <v>584</v>
      </c>
      <c r="C341" s="91" t="s">
        <v>306</v>
      </c>
      <c r="D341" s="58"/>
      <c r="E341" s="59"/>
      <c r="F341" s="60"/>
      <c r="G341" s="47">
        <f t="shared" si="25"/>
        <v>213.65</v>
      </c>
      <c r="H341" s="106"/>
      <c r="I341" s="9">
        <f t="shared" si="26"/>
        <v>0</v>
      </c>
      <c r="J341" s="9"/>
      <c r="K341" s="9">
        <f t="shared" si="27"/>
        <v>0</v>
      </c>
      <c r="N341">
        <v>449.79</v>
      </c>
    </row>
    <row r="342" spans="2:14" x14ac:dyDescent="0.3">
      <c r="B342" s="111" t="s">
        <v>585</v>
      </c>
      <c r="C342" s="101" t="s">
        <v>308</v>
      </c>
      <c r="D342" s="58"/>
      <c r="E342" s="59"/>
      <c r="F342" s="60"/>
      <c r="G342" s="47">
        <f t="shared" si="25"/>
        <v>0</v>
      </c>
      <c r="H342" s="106"/>
      <c r="I342" s="9"/>
      <c r="J342" s="9"/>
      <c r="K342" s="9"/>
    </row>
    <row r="343" spans="2:14" x14ac:dyDescent="0.3">
      <c r="B343" s="110" t="s">
        <v>586</v>
      </c>
      <c r="C343" s="91" t="s">
        <v>200</v>
      </c>
      <c r="D343" s="58"/>
      <c r="E343" s="59"/>
      <c r="F343" s="60"/>
      <c r="G343" s="47">
        <f t="shared" si="25"/>
        <v>1026.44</v>
      </c>
      <c r="H343" s="106"/>
      <c r="I343" s="9">
        <f t="shared" si="26"/>
        <v>0</v>
      </c>
      <c r="J343" s="9"/>
      <c r="K343" s="9">
        <f t="shared" si="27"/>
        <v>0</v>
      </c>
      <c r="N343">
        <v>2160.9299999999998</v>
      </c>
    </row>
    <row r="344" spans="2:14" x14ac:dyDescent="0.3">
      <c r="B344" s="110" t="s">
        <v>587</v>
      </c>
      <c r="C344" s="91" t="s">
        <v>157</v>
      </c>
      <c r="D344" s="58"/>
      <c r="E344" s="59"/>
      <c r="F344" s="60"/>
      <c r="G344" s="47">
        <f t="shared" si="25"/>
        <v>747.05</v>
      </c>
      <c r="H344" s="106"/>
      <c r="I344" s="9">
        <f t="shared" si="26"/>
        <v>0</v>
      </c>
      <c r="J344" s="9"/>
      <c r="K344" s="9">
        <f t="shared" si="27"/>
        <v>0</v>
      </c>
      <c r="N344">
        <v>1572.74</v>
      </c>
    </row>
    <row r="345" spans="2:14" x14ac:dyDescent="0.3">
      <c r="B345" s="110" t="s">
        <v>588</v>
      </c>
      <c r="C345" s="91" t="s">
        <v>318</v>
      </c>
      <c r="D345" s="58"/>
      <c r="E345" s="59"/>
      <c r="F345" s="60"/>
      <c r="G345" s="47">
        <f t="shared" si="25"/>
        <v>317.18</v>
      </c>
      <c r="H345" s="106"/>
      <c r="I345" s="9">
        <f t="shared" si="26"/>
        <v>0</v>
      </c>
      <c r="J345" s="9"/>
      <c r="K345" s="9">
        <f t="shared" si="27"/>
        <v>0</v>
      </c>
      <c r="N345">
        <v>667.75</v>
      </c>
    </row>
    <row r="346" spans="2:14" x14ac:dyDescent="0.3">
      <c r="B346" s="111" t="s">
        <v>589</v>
      </c>
      <c r="C346" s="101" t="s">
        <v>320</v>
      </c>
      <c r="D346" s="58"/>
      <c r="E346" s="59"/>
      <c r="F346" s="60"/>
      <c r="G346" s="47">
        <f t="shared" si="25"/>
        <v>0</v>
      </c>
      <c r="H346" s="106"/>
      <c r="I346" s="9"/>
      <c r="J346" s="9"/>
      <c r="K346" s="9"/>
    </row>
    <row r="347" spans="2:14" x14ac:dyDescent="0.3">
      <c r="B347" s="110" t="s">
        <v>590</v>
      </c>
      <c r="C347" s="91" t="s">
        <v>303</v>
      </c>
      <c r="D347" s="58"/>
      <c r="E347" s="59"/>
      <c r="F347" s="60"/>
      <c r="G347" s="47">
        <f t="shared" si="25"/>
        <v>540.73</v>
      </c>
      <c r="H347" s="106"/>
      <c r="I347" s="9">
        <f t="shared" si="26"/>
        <v>0</v>
      </c>
      <c r="J347" s="9"/>
      <c r="K347" s="9">
        <f t="shared" si="27"/>
        <v>0</v>
      </c>
      <c r="N347">
        <v>1138.3699999999999</v>
      </c>
    </row>
    <row r="348" spans="2:14" x14ac:dyDescent="0.3">
      <c r="B348" s="110" t="s">
        <v>591</v>
      </c>
      <c r="C348" s="91" t="s">
        <v>155</v>
      </c>
      <c r="D348" s="58"/>
      <c r="E348" s="59"/>
      <c r="F348" s="60"/>
      <c r="G348" s="47">
        <f t="shared" si="25"/>
        <v>441.55</v>
      </c>
      <c r="H348" s="106"/>
      <c r="I348" s="9">
        <f t="shared" si="26"/>
        <v>0</v>
      </c>
      <c r="J348" s="9"/>
      <c r="K348" s="9">
        <f t="shared" si="27"/>
        <v>0</v>
      </c>
      <c r="N348">
        <v>929.58</v>
      </c>
    </row>
    <row r="349" spans="2:14" x14ac:dyDescent="0.3">
      <c r="B349" s="110" t="s">
        <v>592</v>
      </c>
      <c r="C349" s="91" t="s">
        <v>157</v>
      </c>
      <c r="D349" s="58"/>
      <c r="E349" s="59"/>
      <c r="F349" s="60"/>
      <c r="G349" s="47">
        <f t="shared" si="25"/>
        <v>80.260000000000005</v>
      </c>
      <c r="H349" s="106"/>
      <c r="I349" s="9">
        <f t="shared" si="26"/>
        <v>0</v>
      </c>
      <c r="J349" s="9"/>
      <c r="K349" s="9">
        <f t="shared" si="27"/>
        <v>0</v>
      </c>
      <c r="N349">
        <v>168.96</v>
      </c>
    </row>
    <row r="350" spans="2:14" x14ac:dyDescent="0.3">
      <c r="B350" s="110" t="s">
        <v>593</v>
      </c>
      <c r="C350" s="91" t="s">
        <v>326</v>
      </c>
      <c r="D350" s="58"/>
      <c r="E350" s="59"/>
      <c r="F350" s="60"/>
      <c r="G350" s="47">
        <f t="shared" si="25"/>
        <v>584.66</v>
      </c>
      <c r="H350" s="106"/>
      <c r="I350" s="9">
        <f t="shared" si="26"/>
        <v>0</v>
      </c>
      <c r="J350" s="9"/>
      <c r="K350" s="9">
        <f t="shared" si="27"/>
        <v>0</v>
      </c>
      <c r="N350">
        <v>1230.8599999999999</v>
      </c>
    </row>
    <row r="351" spans="2:14" x14ac:dyDescent="0.3">
      <c r="B351" s="111" t="s">
        <v>594</v>
      </c>
      <c r="C351" s="101" t="s">
        <v>595</v>
      </c>
      <c r="D351" s="58"/>
      <c r="E351" s="59"/>
      <c r="F351" s="60"/>
      <c r="G351" s="47">
        <f t="shared" si="25"/>
        <v>0</v>
      </c>
      <c r="H351" s="106"/>
      <c r="I351" s="9"/>
      <c r="J351" s="9"/>
      <c r="K351" s="9"/>
    </row>
    <row r="352" spans="2:14" x14ac:dyDescent="0.3">
      <c r="B352" s="110" t="s">
        <v>596</v>
      </c>
      <c r="C352" s="91" t="s">
        <v>548</v>
      </c>
      <c r="D352" s="58"/>
      <c r="E352" s="59"/>
      <c r="F352" s="60"/>
      <c r="G352" s="47">
        <f t="shared" si="25"/>
        <v>39779.040000000001</v>
      </c>
      <c r="H352" s="106"/>
      <c r="I352" s="9">
        <f t="shared" si="26"/>
        <v>0</v>
      </c>
      <c r="J352" s="9"/>
      <c r="K352" s="9">
        <f t="shared" si="27"/>
        <v>0</v>
      </c>
      <c r="N352">
        <v>83745.34</v>
      </c>
    </row>
    <row r="353" spans="2:14" x14ac:dyDescent="0.3">
      <c r="B353" s="111" t="s">
        <v>597</v>
      </c>
      <c r="C353" s="101" t="s">
        <v>328</v>
      </c>
      <c r="D353" s="58"/>
      <c r="E353" s="59"/>
      <c r="F353" s="60"/>
      <c r="G353" s="47">
        <f t="shared" si="25"/>
        <v>0</v>
      </c>
      <c r="H353" s="106"/>
      <c r="I353" s="9"/>
      <c r="J353" s="9"/>
      <c r="K353" s="9"/>
    </row>
    <row r="354" spans="2:14" x14ac:dyDescent="0.3">
      <c r="B354" s="110" t="s">
        <v>598</v>
      </c>
      <c r="C354" s="91" t="s">
        <v>330</v>
      </c>
      <c r="D354" s="58"/>
      <c r="E354" s="59"/>
      <c r="F354" s="60"/>
      <c r="G354" s="47">
        <f t="shared" si="25"/>
        <v>337.91</v>
      </c>
      <c r="H354" s="106"/>
      <c r="I354" s="9">
        <f t="shared" si="26"/>
        <v>0</v>
      </c>
      <c r="J354" s="9"/>
      <c r="K354" s="9">
        <f t="shared" si="27"/>
        <v>0</v>
      </c>
      <c r="N354">
        <v>711.39</v>
      </c>
    </row>
    <row r="355" spans="2:14" x14ac:dyDescent="0.3">
      <c r="B355" s="111" t="s">
        <v>599</v>
      </c>
      <c r="C355" s="101" t="s">
        <v>340</v>
      </c>
      <c r="D355" s="58"/>
      <c r="E355" s="59"/>
      <c r="F355" s="60"/>
      <c r="G355" s="47">
        <f t="shared" si="25"/>
        <v>0</v>
      </c>
      <c r="H355" s="106"/>
      <c r="I355" s="9"/>
      <c r="J355" s="9"/>
      <c r="K355" s="9"/>
    </row>
    <row r="356" spans="2:14" x14ac:dyDescent="0.3">
      <c r="B356" s="115" t="s">
        <v>600</v>
      </c>
      <c r="C356" s="103" t="s">
        <v>238</v>
      </c>
      <c r="D356" s="58"/>
      <c r="E356" s="59"/>
      <c r="F356" s="60"/>
      <c r="G356" s="47">
        <f t="shared" si="25"/>
        <v>0</v>
      </c>
      <c r="H356" s="106"/>
      <c r="I356" s="9"/>
      <c r="J356" s="9"/>
      <c r="K356" s="9"/>
    </row>
    <row r="357" spans="2:14" x14ac:dyDescent="0.3">
      <c r="B357" s="110" t="s">
        <v>601</v>
      </c>
      <c r="C357" s="91" t="s">
        <v>602</v>
      </c>
      <c r="D357" s="58"/>
      <c r="E357" s="59"/>
      <c r="F357" s="60"/>
      <c r="G357" s="47">
        <f t="shared" si="25"/>
        <v>542.23</v>
      </c>
      <c r="H357" s="106"/>
      <c r="I357" s="9">
        <f t="shared" si="26"/>
        <v>0</v>
      </c>
      <c r="J357" s="9"/>
      <c r="K357" s="9">
        <f t="shared" si="27"/>
        <v>0</v>
      </c>
      <c r="N357">
        <v>1141.54</v>
      </c>
    </row>
    <row r="358" spans="2:14" x14ac:dyDescent="0.3">
      <c r="B358" s="115" t="s">
        <v>603</v>
      </c>
      <c r="C358" s="103" t="s">
        <v>357</v>
      </c>
      <c r="D358" s="58"/>
      <c r="E358" s="59"/>
      <c r="F358" s="60"/>
      <c r="G358" s="47">
        <f t="shared" si="25"/>
        <v>0</v>
      </c>
      <c r="H358" s="106"/>
      <c r="I358" s="9"/>
      <c r="J358" s="9"/>
      <c r="K358" s="9"/>
    </row>
    <row r="359" spans="2:14" x14ac:dyDescent="0.3">
      <c r="B359" s="110" t="s">
        <v>604</v>
      </c>
      <c r="C359" s="91" t="s">
        <v>359</v>
      </c>
      <c r="D359" s="58"/>
      <c r="E359" s="59"/>
      <c r="F359" s="60"/>
      <c r="G359" s="47">
        <f t="shared" si="25"/>
        <v>971.85</v>
      </c>
      <c r="H359" s="106"/>
      <c r="I359" s="9">
        <f t="shared" si="26"/>
        <v>0</v>
      </c>
      <c r="J359" s="9"/>
      <c r="K359" s="9">
        <f t="shared" si="27"/>
        <v>0</v>
      </c>
      <c r="N359">
        <v>2046</v>
      </c>
    </row>
    <row r="360" spans="2:14" x14ac:dyDescent="0.3">
      <c r="B360" s="110" t="s">
        <v>605</v>
      </c>
      <c r="C360" s="91" t="s">
        <v>361</v>
      </c>
      <c r="D360" s="58"/>
      <c r="E360" s="59"/>
      <c r="F360" s="60"/>
      <c r="G360" s="47">
        <f t="shared" si="25"/>
        <v>2075.37</v>
      </c>
      <c r="H360" s="106"/>
      <c r="I360" s="9">
        <f t="shared" si="26"/>
        <v>0</v>
      </c>
      <c r="J360" s="9"/>
      <c r="K360" s="9">
        <f t="shared" si="27"/>
        <v>0</v>
      </c>
      <c r="N360">
        <v>4369.2</v>
      </c>
    </row>
    <row r="361" spans="2:14" x14ac:dyDescent="0.3">
      <c r="B361" s="115" t="s">
        <v>606</v>
      </c>
      <c r="C361" s="103" t="s">
        <v>369</v>
      </c>
      <c r="D361" s="58"/>
      <c r="E361" s="59"/>
      <c r="F361" s="60"/>
      <c r="G361" s="47">
        <f t="shared" si="25"/>
        <v>0</v>
      </c>
      <c r="H361" s="106"/>
      <c r="I361" s="9"/>
      <c r="J361" s="9"/>
      <c r="K361" s="9"/>
    </row>
    <row r="362" spans="2:14" x14ac:dyDescent="0.3">
      <c r="B362" s="110" t="s">
        <v>607</v>
      </c>
      <c r="C362" s="91" t="s">
        <v>371</v>
      </c>
      <c r="D362" s="58"/>
      <c r="E362" s="59"/>
      <c r="F362" s="60"/>
      <c r="G362" s="47">
        <f t="shared" si="25"/>
        <v>583.11</v>
      </c>
      <c r="H362" s="106"/>
      <c r="I362" s="9">
        <f t="shared" si="26"/>
        <v>0</v>
      </c>
      <c r="J362" s="9"/>
      <c r="K362" s="9">
        <f t="shared" si="27"/>
        <v>0</v>
      </c>
      <c r="N362">
        <v>1227.5999999999999</v>
      </c>
    </row>
    <row r="363" spans="2:14" x14ac:dyDescent="0.3">
      <c r="B363" s="110" t="s">
        <v>608</v>
      </c>
      <c r="C363" s="91" t="s">
        <v>373</v>
      </c>
      <c r="D363" s="58"/>
      <c r="E363" s="59"/>
      <c r="F363" s="60"/>
      <c r="G363" s="47">
        <f t="shared" si="25"/>
        <v>275.95</v>
      </c>
      <c r="H363" s="106"/>
      <c r="I363" s="9">
        <f t="shared" si="26"/>
        <v>0</v>
      </c>
      <c r="J363" s="9"/>
      <c r="K363" s="9">
        <f t="shared" si="27"/>
        <v>0</v>
      </c>
      <c r="N363">
        <v>580.94000000000005</v>
      </c>
    </row>
    <row r="364" spans="2:14" x14ac:dyDescent="0.3">
      <c r="B364" s="115" t="s">
        <v>609</v>
      </c>
      <c r="C364" s="103" t="s">
        <v>375</v>
      </c>
      <c r="D364" s="58"/>
      <c r="E364" s="59"/>
      <c r="F364" s="60"/>
      <c r="G364" s="47">
        <f t="shared" si="25"/>
        <v>0</v>
      </c>
      <c r="H364" s="106"/>
      <c r="I364" s="9"/>
      <c r="J364" s="9"/>
      <c r="K364" s="9"/>
    </row>
    <row r="365" spans="2:14" x14ac:dyDescent="0.3">
      <c r="B365" s="110" t="s">
        <v>610</v>
      </c>
      <c r="C365" s="91" t="s">
        <v>379</v>
      </c>
      <c r="D365" s="58"/>
      <c r="E365" s="59"/>
      <c r="F365" s="60"/>
      <c r="G365" s="47">
        <f t="shared" si="25"/>
        <v>373.52</v>
      </c>
      <c r="H365" s="106"/>
      <c r="I365" s="9">
        <f t="shared" si="26"/>
        <v>0</v>
      </c>
      <c r="J365" s="9"/>
      <c r="K365" s="9">
        <f t="shared" si="27"/>
        <v>0</v>
      </c>
      <c r="N365">
        <v>786.36</v>
      </c>
    </row>
    <row r="366" spans="2:14" x14ac:dyDescent="0.3">
      <c r="B366" s="115" t="s">
        <v>611</v>
      </c>
      <c r="C366" s="103" t="s">
        <v>381</v>
      </c>
      <c r="D366" s="58"/>
      <c r="E366" s="59"/>
      <c r="F366" s="60"/>
      <c r="G366" s="47">
        <f t="shared" si="25"/>
        <v>0</v>
      </c>
      <c r="H366" s="106"/>
      <c r="I366" s="9"/>
      <c r="J366" s="9"/>
      <c r="K366" s="9"/>
    </row>
    <row r="367" spans="2:14" x14ac:dyDescent="0.3">
      <c r="B367" s="110" t="s">
        <v>612</v>
      </c>
      <c r="C367" s="91" t="s">
        <v>613</v>
      </c>
      <c r="D367" s="58"/>
      <c r="E367" s="59"/>
      <c r="F367" s="60"/>
      <c r="G367" s="47">
        <f t="shared" si="25"/>
        <v>626.42999999999995</v>
      </c>
      <c r="H367" s="106"/>
      <c r="I367" s="9">
        <f t="shared" si="26"/>
        <v>0</v>
      </c>
      <c r="J367" s="9"/>
      <c r="K367" s="9">
        <f t="shared" si="27"/>
        <v>0</v>
      </c>
      <c r="N367">
        <v>1318.8</v>
      </c>
    </row>
    <row r="368" spans="2:14" x14ac:dyDescent="0.3">
      <c r="B368" s="110" t="s">
        <v>614</v>
      </c>
      <c r="C368" s="91" t="s">
        <v>615</v>
      </c>
      <c r="D368" s="58"/>
      <c r="E368" s="59"/>
      <c r="F368" s="60"/>
      <c r="G368" s="47">
        <f t="shared" si="25"/>
        <v>605.86</v>
      </c>
      <c r="H368" s="106"/>
      <c r="I368" s="9">
        <f t="shared" si="26"/>
        <v>0</v>
      </c>
      <c r="J368" s="9"/>
      <c r="K368" s="9">
        <f t="shared" si="27"/>
        <v>0</v>
      </c>
      <c r="N368">
        <v>1275.5</v>
      </c>
    </row>
    <row r="369" spans="2:14" x14ac:dyDescent="0.3">
      <c r="B369" s="115" t="s">
        <v>616</v>
      </c>
      <c r="C369" s="103" t="s">
        <v>385</v>
      </c>
      <c r="D369" s="58"/>
      <c r="E369" s="59"/>
      <c r="F369" s="60"/>
      <c r="G369" s="47">
        <f t="shared" si="25"/>
        <v>0</v>
      </c>
      <c r="H369" s="106"/>
      <c r="I369" s="9"/>
      <c r="J369" s="9"/>
      <c r="K369" s="9"/>
    </row>
    <row r="370" spans="2:14" x14ac:dyDescent="0.3">
      <c r="B370" s="110" t="s">
        <v>617</v>
      </c>
      <c r="C370" s="91" t="s">
        <v>387</v>
      </c>
      <c r="D370" s="58"/>
      <c r="E370" s="59"/>
      <c r="F370" s="60"/>
      <c r="G370" s="47">
        <f t="shared" si="25"/>
        <v>739.3</v>
      </c>
      <c r="H370" s="106"/>
      <c r="I370" s="9">
        <f t="shared" si="26"/>
        <v>0</v>
      </c>
      <c r="J370" s="9"/>
      <c r="K370" s="9">
        <f t="shared" si="27"/>
        <v>0</v>
      </c>
      <c r="N370">
        <v>1556.43</v>
      </c>
    </row>
    <row r="371" spans="2:14" x14ac:dyDescent="0.3">
      <c r="B371" s="115" t="s">
        <v>618</v>
      </c>
      <c r="C371" s="103" t="s">
        <v>393</v>
      </c>
      <c r="D371" s="58"/>
      <c r="E371" s="59"/>
      <c r="F371" s="60"/>
      <c r="G371" s="47">
        <f t="shared" si="25"/>
        <v>0</v>
      </c>
      <c r="H371" s="106"/>
      <c r="I371" s="9"/>
      <c r="J371" s="9"/>
      <c r="K371" s="9"/>
    </row>
    <row r="372" spans="2:14" x14ac:dyDescent="0.3">
      <c r="B372" s="110" t="s">
        <v>619</v>
      </c>
      <c r="C372" s="91" t="s">
        <v>620</v>
      </c>
      <c r="D372" s="58"/>
      <c r="E372" s="59"/>
      <c r="F372" s="60"/>
      <c r="G372" s="47">
        <f t="shared" si="25"/>
        <v>1969.92</v>
      </c>
      <c r="H372" s="106"/>
      <c r="I372" s="9">
        <f t="shared" si="26"/>
        <v>0</v>
      </c>
      <c r="J372" s="9"/>
      <c r="K372" s="9">
        <f t="shared" si="27"/>
        <v>0</v>
      </c>
      <c r="N372">
        <v>4147.2</v>
      </c>
    </row>
    <row r="373" spans="2:14" x14ac:dyDescent="0.3">
      <c r="B373" s="110" t="s">
        <v>621</v>
      </c>
      <c r="C373" s="91" t="s">
        <v>655</v>
      </c>
      <c r="D373" s="58"/>
      <c r="E373" s="59"/>
      <c r="F373" s="60"/>
      <c r="G373" s="47">
        <f t="shared" si="25"/>
        <v>5753.23</v>
      </c>
      <c r="H373" s="106"/>
      <c r="I373" s="9">
        <f t="shared" si="26"/>
        <v>0</v>
      </c>
      <c r="J373" s="9"/>
      <c r="K373" s="9">
        <f t="shared" si="27"/>
        <v>0</v>
      </c>
      <c r="N373">
        <v>12112.06</v>
      </c>
    </row>
    <row r="374" spans="2:14" x14ac:dyDescent="0.3">
      <c r="B374" s="112"/>
      <c r="C374" s="93"/>
      <c r="D374" s="58"/>
      <c r="E374" s="59"/>
      <c r="F374" s="60"/>
      <c r="G374" s="61"/>
      <c r="H374" s="8"/>
      <c r="I374" s="9"/>
      <c r="J374" s="9"/>
      <c r="K374" s="9"/>
    </row>
    <row r="375" spans="2:14" x14ac:dyDescent="0.3">
      <c r="B375" s="113"/>
      <c r="C375" s="95" t="s">
        <v>622</v>
      </c>
      <c r="D375" s="58"/>
      <c r="E375" s="59"/>
      <c r="F375" s="60"/>
      <c r="G375" s="107">
        <f>SUM(G322:G373)</f>
        <v>112407.89000000001</v>
      </c>
      <c r="H375" s="8"/>
      <c r="I375" s="9"/>
      <c r="J375" s="9"/>
      <c r="K375" s="9"/>
      <c r="N375">
        <v>236648.21000000002</v>
      </c>
    </row>
    <row r="376" spans="2:14" x14ac:dyDescent="0.3">
      <c r="B376" s="114"/>
      <c r="C376" s="97"/>
      <c r="D376" s="58"/>
      <c r="E376" s="59"/>
      <c r="F376" s="60"/>
      <c r="G376" s="61"/>
      <c r="H376" s="8"/>
      <c r="I376" s="9"/>
      <c r="J376" s="9"/>
      <c r="K376" s="9"/>
    </row>
    <row r="377" spans="2:14" x14ac:dyDescent="0.3">
      <c r="B377" s="108" t="s">
        <v>623</v>
      </c>
      <c r="C377" s="87" t="s">
        <v>624</v>
      </c>
      <c r="D377" s="58"/>
      <c r="E377" s="59"/>
      <c r="F377" s="60"/>
      <c r="G377" s="61"/>
      <c r="H377" s="8"/>
      <c r="I377" s="9"/>
      <c r="J377" s="9"/>
      <c r="K377" s="9"/>
    </row>
    <row r="378" spans="2:14" x14ac:dyDescent="0.3">
      <c r="B378" s="116" t="s">
        <v>625</v>
      </c>
      <c r="C378" s="89" t="s">
        <v>414</v>
      </c>
      <c r="D378" s="58"/>
      <c r="E378" s="59"/>
      <c r="F378" s="60"/>
      <c r="G378" s="47">
        <f>+ROUND(N378*0.475,2)</f>
        <v>1449.27</v>
      </c>
      <c r="H378" s="106"/>
      <c r="I378" s="9">
        <f t="shared" si="26"/>
        <v>0</v>
      </c>
      <c r="J378" s="9"/>
      <c r="K378" s="9">
        <f t="shared" si="27"/>
        <v>0</v>
      </c>
      <c r="N378">
        <v>3051.09</v>
      </c>
    </row>
    <row r="379" spans="2:14" x14ac:dyDescent="0.3">
      <c r="B379" s="112"/>
      <c r="C379" s="93"/>
      <c r="D379" s="58"/>
      <c r="E379" s="59"/>
      <c r="F379" s="60"/>
      <c r="G379" s="61"/>
      <c r="H379" s="8"/>
      <c r="I379" s="9"/>
      <c r="J379" s="9"/>
      <c r="K379" s="9"/>
    </row>
    <row r="380" spans="2:14" x14ac:dyDescent="0.3">
      <c r="B380" s="113"/>
      <c r="C380" s="95" t="s">
        <v>626</v>
      </c>
      <c r="D380" s="58"/>
      <c r="E380" s="59"/>
      <c r="F380" s="60"/>
      <c r="G380" s="107">
        <f>G378</f>
        <v>1449.27</v>
      </c>
      <c r="H380" s="8"/>
      <c r="I380" s="9"/>
      <c r="J380" s="9"/>
      <c r="K380" s="9"/>
      <c r="N380">
        <v>3051.09</v>
      </c>
    </row>
    <row r="381" spans="2:14" x14ac:dyDescent="0.3">
      <c r="B381" s="114"/>
      <c r="C381" s="97"/>
      <c r="D381" s="58"/>
      <c r="E381" s="59"/>
      <c r="F381" s="60"/>
      <c r="G381" s="61"/>
      <c r="H381" s="8"/>
      <c r="I381" s="9"/>
      <c r="J381" s="9"/>
      <c r="K381" s="9"/>
    </row>
    <row r="382" spans="2:14" x14ac:dyDescent="0.3">
      <c r="B382" s="108" t="s">
        <v>627</v>
      </c>
      <c r="C382" s="87" t="s">
        <v>628</v>
      </c>
      <c r="D382" s="58"/>
      <c r="E382" s="59"/>
      <c r="F382" s="60"/>
      <c r="G382" s="61"/>
      <c r="H382" s="8"/>
      <c r="I382" s="9"/>
      <c r="J382" s="9"/>
      <c r="K382" s="9"/>
    </row>
    <row r="383" spans="2:14" x14ac:dyDescent="0.3">
      <c r="B383" s="109" t="s">
        <v>629</v>
      </c>
      <c r="C383" s="99" t="s">
        <v>432</v>
      </c>
      <c r="D383" s="58"/>
      <c r="E383" s="59"/>
      <c r="F383" s="60"/>
      <c r="G383" s="61"/>
      <c r="H383" s="8"/>
      <c r="I383" s="9"/>
      <c r="J383" s="9"/>
      <c r="K383" s="9"/>
    </row>
    <row r="384" spans="2:14" x14ac:dyDescent="0.3">
      <c r="B384" s="110" t="s">
        <v>630</v>
      </c>
      <c r="C384" s="91" t="s">
        <v>631</v>
      </c>
      <c r="D384" s="58"/>
      <c r="E384" s="59"/>
      <c r="F384" s="60"/>
      <c r="G384" s="47">
        <f t="shared" ref="G384:G396" si="28">+ROUND(N384*0.475,2)</f>
        <v>589.54</v>
      </c>
      <c r="H384" s="106"/>
      <c r="I384" s="9">
        <f t="shared" si="26"/>
        <v>0</v>
      </c>
      <c r="J384" s="9"/>
      <c r="K384" s="9">
        <f t="shared" si="27"/>
        <v>0</v>
      </c>
      <c r="N384">
        <v>1241.1400000000001</v>
      </c>
    </row>
    <row r="385" spans="2:14" x14ac:dyDescent="0.3">
      <c r="B385" s="111" t="s">
        <v>632</v>
      </c>
      <c r="C385" s="101" t="s">
        <v>442</v>
      </c>
      <c r="D385" s="58"/>
      <c r="E385" s="59"/>
      <c r="F385" s="60"/>
      <c r="G385" s="47">
        <f t="shared" si="28"/>
        <v>0</v>
      </c>
      <c r="H385" s="106"/>
      <c r="I385" s="9"/>
      <c r="J385" s="9"/>
      <c r="K385" s="9"/>
    </row>
    <row r="386" spans="2:14" x14ac:dyDescent="0.3">
      <c r="B386" s="110" t="s">
        <v>633</v>
      </c>
      <c r="C386" s="91" t="s">
        <v>634</v>
      </c>
      <c r="D386" s="58"/>
      <c r="E386" s="59"/>
      <c r="F386" s="60"/>
      <c r="G386" s="47">
        <f t="shared" si="28"/>
        <v>64.319999999999993</v>
      </c>
      <c r="H386" s="106"/>
      <c r="I386" s="9">
        <f t="shared" si="26"/>
        <v>0</v>
      </c>
      <c r="J386" s="9"/>
      <c r="K386" s="9">
        <f t="shared" si="27"/>
        <v>0</v>
      </c>
      <c r="N386">
        <v>135.4</v>
      </c>
    </row>
    <row r="387" spans="2:14" ht="26.4" x14ac:dyDescent="0.3">
      <c r="B387" s="110" t="s">
        <v>635</v>
      </c>
      <c r="C387" s="91" t="s">
        <v>636</v>
      </c>
      <c r="D387" s="58"/>
      <c r="E387" s="59"/>
      <c r="F387" s="60"/>
      <c r="G387" s="47">
        <f t="shared" si="28"/>
        <v>1234.9000000000001</v>
      </c>
      <c r="H387" s="106"/>
      <c r="I387" s="9">
        <f t="shared" si="26"/>
        <v>0</v>
      </c>
      <c r="J387" s="9"/>
      <c r="K387" s="9">
        <f t="shared" si="27"/>
        <v>0</v>
      </c>
      <c r="N387">
        <v>2599.7800000000002</v>
      </c>
    </row>
    <row r="388" spans="2:14" x14ac:dyDescent="0.3">
      <c r="B388" s="110" t="s">
        <v>637</v>
      </c>
      <c r="C388" s="91" t="s">
        <v>638</v>
      </c>
      <c r="D388" s="58"/>
      <c r="E388" s="59"/>
      <c r="F388" s="60"/>
      <c r="G388" s="47">
        <f t="shared" si="28"/>
        <v>154.36000000000001</v>
      </c>
      <c r="H388" s="106"/>
      <c r="I388" s="9">
        <f t="shared" si="26"/>
        <v>0</v>
      </c>
      <c r="J388" s="9"/>
      <c r="K388" s="9">
        <f t="shared" si="27"/>
        <v>0</v>
      </c>
      <c r="N388">
        <v>324.97000000000003</v>
      </c>
    </row>
    <row r="389" spans="2:14" x14ac:dyDescent="0.3">
      <c r="B389" s="110" t="s">
        <v>639</v>
      </c>
      <c r="C389" s="91" t="s">
        <v>640</v>
      </c>
      <c r="D389" s="58"/>
      <c r="E389" s="59"/>
      <c r="F389" s="60"/>
      <c r="G389" s="47">
        <f t="shared" si="28"/>
        <v>969.87</v>
      </c>
      <c r="H389" s="106"/>
      <c r="I389" s="9">
        <f t="shared" si="26"/>
        <v>0</v>
      </c>
      <c r="J389" s="9"/>
      <c r="K389" s="9">
        <f t="shared" si="27"/>
        <v>0</v>
      </c>
      <c r="N389">
        <v>2041.83</v>
      </c>
    </row>
    <row r="390" spans="2:14" x14ac:dyDescent="0.3">
      <c r="B390" s="110" t="s">
        <v>641</v>
      </c>
      <c r="C390" s="91" t="s">
        <v>642</v>
      </c>
      <c r="D390" s="58"/>
      <c r="E390" s="59"/>
      <c r="F390" s="60"/>
      <c r="G390" s="47">
        <f t="shared" si="28"/>
        <v>924.3</v>
      </c>
      <c r="H390" s="106"/>
      <c r="I390" s="9">
        <f t="shared" si="26"/>
        <v>0</v>
      </c>
      <c r="J390" s="9"/>
      <c r="K390" s="9">
        <f t="shared" si="27"/>
        <v>0</v>
      </c>
      <c r="N390">
        <v>1945.9</v>
      </c>
    </row>
    <row r="391" spans="2:14" ht="26.4" x14ac:dyDescent="0.3">
      <c r="B391" s="110" t="s">
        <v>643</v>
      </c>
      <c r="C391" s="91" t="s">
        <v>644</v>
      </c>
      <c r="D391" s="58"/>
      <c r="E391" s="59"/>
      <c r="F391" s="60"/>
      <c r="G391" s="47">
        <f t="shared" si="28"/>
        <v>749.49</v>
      </c>
      <c r="H391" s="106"/>
      <c r="I391" s="9">
        <f t="shared" si="26"/>
        <v>0</v>
      </c>
      <c r="J391" s="9"/>
      <c r="K391" s="9">
        <f t="shared" si="27"/>
        <v>0</v>
      </c>
      <c r="N391">
        <v>1577.87</v>
      </c>
    </row>
    <row r="392" spans="2:14" x14ac:dyDescent="0.3">
      <c r="B392" s="110" t="s">
        <v>645</v>
      </c>
      <c r="C392" s="91" t="s">
        <v>646</v>
      </c>
      <c r="D392" s="58"/>
      <c r="E392" s="59"/>
      <c r="F392" s="60"/>
      <c r="G392" s="47">
        <f t="shared" si="28"/>
        <v>580.25</v>
      </c>
      <c r="H392" s="106"/>
      <c r="I392" s="9">
        <f t="shared" si="26"/>
        <v>0</v>
      </c>
      <c r="J392" s="9"/>
      <c r="K392" s="9">
        <f t="shared" si="27"/>
        <v>0</v>
      </c>
      <c r="N392">
        <v>1221.58</v>
      </c>
    </row>
    <row r="393" spans="2:14" x14ac:dyDescent="0.3">
      <c r="B393" s="111" t="s">
        <v>647</v>
      </c>
      <c r="C393" s="101" t="s">
        <v>452</v>
      </c>
      <c r="D393" s="58"/>
      <c r="E393" s="59"/>
      <c r="F393" s="60"/>
      <c r="G393" s="47">
        <f t="shared" si="28"/>
        <v>0</v>
      </c>
      <c r="H393" s="106"/>
      <c r="I393" s="9"/>
      <c r="J393" s="9"/>
      <c r="K393" s="9"/>
    </row>
    <row r="394" spans="2:14" x14ac:dyDescent="0.3">
      <c r="B394" s="110" t="s">
        <v>648</v>
      </c>
      <c r="C394" s="91" t="s">
        <v>649</v>
      </c>
      <c r="D394" s="58"/>
      <c r="E394" s="59"/>
      <c r="F394" s="60"/>
      <c r="G394" s="47">
        <f t="shared" si="28"/>
        <v>3610.27</v>
      </c>
      <c r="H394" s="106"/>
      <c r="I394" s="9">
        <f t="shared" si="26"/>
        <v>0</v>
      </c>
      <c r="J394" s="9"/>
      <c r="K394" s="9">
        <f t="shared" si="27"/>
        <v>0</v>
      </c>
      <c r="N394">
        <v>7600.56</v>
      </c>
    </row>
    <row r="395" spans="2:14" x14ac:dyDescent="0.3">
      <c r="B395" s="111" t="s">
        <v>650</v>
      </c>
      <c r="C395" s="101" t="s">
        <v>651</v>
      </c>
      <c r="D395" s="58"/>
      <c r="E395" s="59"/>
      <c r="F395" s="60"/>
      <c r="G395" s="47">
        <f t="shared" si="28"/>
        <v>0</v>
      </c>
      <c r="H395" s="106"/>
      <c r="I395" s="9"/>
      <c r="J395" s="9"/>
      <c r="K395" s="9"/>
    </row>
    <row r="396" spans="2:14" x14ac:dyDescent="0.3">
      <c r="B396" s="110" t="s">
        <v>652</v>
      </c>
      <c r="C396" s="91" t="s">
        <v>653</v>
      </c>
      <c r="D396" s="58"/>
      <c r="E396" s="59"/>
      <c r="F396" s="60"/>
      <c r="G396" s="47">
        <f t="shared" si="28"/>
        <v>1243.97</v>
      </c>
      <c r="H396" s="106"/>
      <c r="I396" s="9">
        <f t="shared" si="26"/>
        <v>0</v>
      </c>
      <c r="J396" s="9"/>
      <c r="K396" s="9">
        <f t="shared" si="27"/>
        <v>0</v>
      </c>
      <c r="N396">
        <v>2618.88</v>
      </c>
    </row>
    <row r="397" spans="2:14" x14ac:dyDescent="0.3">
      <c r="B397" s="112"/>
      <c r="C397" s="93"/>
      <c r="D397" s="58"/>
      <c r="E397" s="59"/>
      <c r="F397" s="60"/>
      <c r="G397" s="61"/>
      <c r="H397" s="8"/>
      <c r="I397" s="9">
        <f t="shared" ref="I397:I398" si="29">ROUND(H397*G397,2)</f>
        <v>0</v>
      </c>
      <c r="J397" s="9"/>
      <c r="K397" s="9">
        <f t="shared" ref="K397:K398" si="30">ROUND(I397-J397,2)</f>
        <v>0</v>
      </c>
    </row>
    <row r="398" spans="2:14" x14ac:dyDescent="0.3">
      <c r="B398" s="113"/>
      <c r="C398" s="95" t="s">
        <v>654</v>
      </c>
      <c r="D398" s="58"/>
      <c r="E398" s="59"/>
      <c r="F398" s="60"/>
      <c r="G398" s="107">
        <f>SUM(G384:G396)</f>
        <v>10121.269999999999</v>
      </c>
      <c r="H398" s="8"/>
      <c r="I398" s="9">
        <f t="shared" si="29"/>
        <v>0</v>
      </c>
      <c r="J398" s="9"/>
      <c r="K398" s="9">
        <f t="shared" si="30"/>
        <v>0</v>
      </c>
      <c r="N398">
        <v>21307.91</v>
      </c>
    </row>
    <row r="399" spans="2:14" x14ac:dyDescent="0.3">
      <c r="B399" s="71"/>
      <c r="C399" s="105"/>
      <c r="D399" s="69"/>
      <c r="E399" s="68"/>
      <c r="F399" s="67"/>
      <c r="G399" s="66"/>
      <c r="H399" s="65"/>
      <c r="I399" s="64"/>
      <c r="J399" s="64"/>
      <c r="K399" s="64"/>
    </row>
    <row r="400" spans="2:14" ht="15" customHeight="1" x14ac:dyDescent="0.3">
      <c r="B400" s="72"/>
      <c r="C400" s="70"/>
      <c r="F400" s="11"/>
      <c r="G400" s="47"/>
      <c r="H400" s="8"/>
      <c r="I400" s="9"/>
      <c r="J400" s="9"/>
      <c r="K400" s="9"/>
    </row>
    <row r="401" spans="2:14" x14ac:dyDescent="0.3">
      <c r="B401" s="13" t="s">
        <v>31</v>
      </c>
      <c r="C401" s="14"/>
      <c r="D401" s="15"/>
      <c r="E401" s="15"/>
      <c r="F401" s="15"/>
      <c r="G401" s="43">
        <f>G12+G20+G47+G77+G121+G204+G209+G218+G236+G259+G288+G318+G375+G380+G398</f>
        <v>496375</v>
      </c>
      <c r="H401" s="16">
        <f>I401/G401</f>
        <v>6.4345504910601863E-3</v>
      </c>
      <c r="I401" s="17">
        <f>SUM(I5:I400)</f>
        <v>3193.95</v>
      </c>
      <c r="J401" s="17">
        <f>SUM(J5:J400)</f>
        <v>0</v>
      </c>
      <c r="K401" s="17">
        <f>SUM(K5:K400)</f>
        <v>3193.95</v>
      </c>
      <c r="N401">
        <v>1045000</v>
      </c>
    </row>
    <row r="402" spans="2:14" ht="15" hidden="1" customHeight="1" x14ac:dyDescent="0.3">
      <c r="B402" s="18"/>
      <c r="C402" s="19"/>
      <c r="D402" s="20"/>
      <c r="E402" s="20"/>
      <c r="F402" s="20"/>
      <c r="G402" s="44"/>
      <c r="H402" s="21"/>
      <c r="I402" s="22"/>
      <c r="J402" s="22"/>
      <c r="K402" s="22"/>
    </row>
    <row r="403" spans="2:14" ht="15" hidden="1" customHeight="1" x14ac:dyDescent="0.3">
      <c r="B403" s="23"/>
      <c r="C403" s="24"/>
      <c r="D403" s="25"/>
      <c r="E403" s="25"/>
      <c r="F403" s="25"/>
      <c r="G403" s="45"/>
      <c r="H403" s="26"/>
      <c r="I403" s="27"/>
      <c r="J403" s="27"/>
      <c r="K403" s="27"/>
    </row>
    <row r="404" spans="2:14" ht="15" hidden="1" customHeight="1" x14ac:dyDescent="0.3">
      <c r="B404" s="23"/>
      <c r="C404" s="10"/>
      <c r="D404" s="25"/>
      <c r="E404" s="25"/>
      <c r="F404" s="25"/>
      <c r="G404" s="45"/>
      <c r="H404" s="26"/>
      <c r="I404" s="27"/>
      <c r="J404" s="27"/>
      <c r="K404" s="27"/>
    </row>
    <row r="405" spans="2:14" ht="15" hidden="1" customHeight="1" x14ac:dyDescent="0.3">
      <c r="B405" s="23"/>
      <c r="C405" s="6"/>
      <c r="D405" s="25"/>
      <c r="E405" s="25"/>
      <c r="F405" s="25"/>
      <c r="G405" s="46"/>
      <c r="H405" s="8"/>
      <c r="I405" s="9">
        <f t="shared" ref="I405:I410" si="31">ROUND(H405*G405,2)</f>
        <v>0</v>
      </c>
      <c r="J405" s="9"/>
      <c r="K405" s="9">
        <f t="shared" ref="K405:K410" si="32">I405-J405</f>
        <v>0</v>
      </c>
    </row>
    <row r="406" spans="2:14" ht="15" hidden="1" customHeight="1" x14ac:dyDescent="0.3">
      <c r="B406" s="23"/>
      <c r="C406" s="6"/>
      <c r="D406" s="25"/>
      <c r="E406" s="25"/>
      <c r="F406" s="25"/>
      <c r="G406" s="46"/>
      <c r="H406" s="8"/>
      <c r="I406" s="9">
        <f t="shared" si="31"/>
        <v>0</v>
      </c>
      <c r="J406" s="9"/>
      <c r="K406" s="9">
        <f t="shared" si="32"/>
        <v>0</v>
      </c>
    </row>
    <row r="407" spans="2:14" ht="15" hidden="1" customHeight="1" x14ac:dyDescent="0.3">
      <c r="B407" s="23"/>
      <c r="C407" s="6"/>
      <c r="D407" s="25"/>
      <c r="E407" s="25"/>
      <c r="F407" s="25"/>
      <c r="G407" s="46"/>
      <c r="H407" s="8"/>
      <c r="I407" s="9">
        <f t="shared" si="31"/>
        <v>0</v>
      </c>
      <c r="J407" s="9"/>
      <c r="K407" s="9">
        <f t="shared" si="32"/>
        <v>0</v>
      </c>
    </row>
    <row r="408" spans="2:14" ht="15" hidden="1" customHeight="1" x14ac:dyDescent="0.3">
      <c r="B408" s="23"/>
      <c r="C408" s="6"/>
      <c r="D408" s="25"/>
      <c r="E408" s="25"/>
      <c r="F408" s="25"/>
      <c r="G408" s="46"/>
      <c r="H408" s="8"/>
      <c r="I408" s="9">
        <f t="shared" si="31"/>
        <v>0</v>
      </c>
      <c r="J408" s="9"/>
      <c r="K408" s="9">
        <f t="shared" si="32"/>
        <v>0</v>
      </c>
    </row>
    <row r="409" spans="2:14" ht="15" hidden="1" customHeight="1" x14ac:dyDescent="0.3">
      <c r="B409" s="23"/>
      <c r="C409" s="6"/>
      <c r="D409" s="25"/>
      <c r="E409" s="25"/>
      <c r="F409" s="25"/>
      <c r="G409" s="46"/>
      <c r="H409" s="8"/>
      <c r="I409" s="9">
        <f t="shared" si="31"/>
        <v>0</v>
      </c>
      <c r="J409" s="9"/>
      <c r="K409" s="9">
        <f t="shared" si="32"/>
        <v>0</v>
      </c>
    </row>
    <row r="410" spans="2:14" ht="15" hidden="1" customHeight="1" x14ac:dyDescent="0.3">
      <c r="B410" s="23"/>
      <c r="C410" s="6"/>
      <c r="D410" s="25"/>
      <c r="E410" s="25"/>
      <c r="F410" s="25"/>
      <c r="G410" s="46"/>
      <c r="H410" s="8"/>
      <c r="I410" s="9">
        <f t="shared" si="31"/>
        <v>0</v>
      </c>
      <c r="J410" s="9"/>
      <c r="K410" s="9">
        <f t="shared" si="32"/>
        <v>0</v>
      </c>
    </row>
    <row r="411" spans="2:14" ht="15" hidden="1" customHeight="1" x14ac:dyDescent="0.3">
      <c r="B411" s="23"/>
      <c r="C411" s="6"/>
      <c r="D411" s="25"/>
      <c r="E411" s="25"/>
      <c r="F411" s="25"/>
      <c r="G411" s="46"/>
      <c r="H411" s="8"/>
      <c r="I411" s="9"/>
      <c r="J411" s="9"/>
      <c r="K411" s="9"/>
    </row>
    <row r="412" spans="2:14" ht="15" hidden="1" customHeight="1" x14ac:dyDescent="0.3">
      <c r="B412" s="23"/>
      <c r="C412" s="10"/>
      <c r="D412" s="25"/>
      <c r="E412" s="25"/>
      <c r="F412" s="25"/>
      <c r="G412" s="46"/>
      <c r="H412" s="8"/>
      <c r="I412" s="9"/>
      <c r="J412" s="9"/>
      <c r="K412" s="9"/>
    </row>
    <row r="413" spans="2:14" ht="15" hidden="1" customHeight="1" x14ac:dyDescent="0.3">
      <c r="B413" s="23"/>
      <c r="C413" s="6"/>
      <c r="D413" s="25"/>
      <c r="E413" s="25"/>
      <c r="F413" s="25"/>
      <c r="G413" s="46"/>
      <c r="H413" s="8"/>
      <c r="I413" s="9">
        <f t="shared" ref="I413:I419" si="33">ROUND(H413*G413,2)</f>
        <v>0</v>
      </c>
      <c r="J413" s="9"/>
      <c r="K413" s="9">
        <f t="shared" ref="K413:K419" si="34">I413-J413</f>
        <v>0</v>
      </c>
    </row>
    <row r="414" spans="2:14" ht="15" hidden="1" customHeight="1" x14ac:dyDescent="0.3">
      <c r="B414" s="23"/>
      <c r="C414" s="6"/>
      <c r="D414" s="25"/>
      <c r="E414" s="25"/>
      <c r="F414" s="25"/>
      <c r="G414" s="46"/>
      <c r="H414" s="8"/>
      <c r="I414" s="9">
        <f t="shared" si="33"/>
        <v>0</v>
      </c>
      <c r="J414" s="9"/>
      <c r="K414" s="9">
        <f t="shared" si="34"/>
        <v>0</v>
      </c>
    </row>
    <row r="415" spans="2:14" ht="15" hidden="1" customHeight="1" x14ac:dyDescent="0.3">
      <c r="B415" s="23"/>
      <c r="C415" s="6"/>
      <c r="D415" s="25"/>
      <c r="E415" s="25"/>
      <c r="F415" s="25"/>
      <c r="G415" s="46"/>
      <c r="H415" s="8"/>
      <c r="I415" s="9">
        <f t="shared" si="33"/>
        <v>0</v>
      </c>
      <c r="J415" s="9"/>
      <c r="K415" s="9">
        <f t="shared" si="34"/>
        <v>0</v>
      </c>
    </row>
    <row r="416" spans="2:14" ht="15" hidden="1" customHeight="1" x14ac:dyDescent="0.3">
      <c r="B416" s="23"/>
      <c r="C416" s="6"/>
      <c r="D416" s="25"/>
      <c r="E416" s="25"/>
      <c r="F416" s="25"/>
      <c r="G416" s="46"/>
      <c r="H416" s="8"/>
      <c r="I416" s="9">
        <f t="shared" si="33"/>
        <v>0</v>
      </c>
      <c r="J416" s="9"/>
      <c r="K416" s="9">
        <f t="shared" si="34"/>
        <v>0</v>
      </c>
    </row>
    <row r="417" spans="2:14" ht="15" hidden="1" customHeight="1" x14ac:dyDescent="0.3">
      <c r="B417" s="23"/>
      <c r="C417" s="6"/>
      <c r="D417" s="25"/>
      <c r="E417" s="25"/>
      <c r="F417" s="25"/>
      <c r="G417" s="46"/>
      <c r="H417" s="8"/>
      <c r="I417" s="9">
        <f t="shared" si="33"/>
        <v>0</v>
      </c>
      <c r="J417" s="9"/>
      <c r="K417" s="9">
        <f t="shared" si="34"/>
        <v>0</v>
      </c>
    </row>
    <row r="418" spans="2:14" ht="15" hidden="1" customHeight="1" x14ac:dyDescent="0.3">
      <c r="B418" s="23"/>
      <c r="C418" s="6"/>
      <c r="D418" s="25"/>
      <c r="E418" s="25"/>
      <c r="F418" s="25"/>
      <c r="G418" s="46"/>
      <c r="H418" s="8"/>
      <c r="I418" s="9">
        <f t="shared" si="33"/>
        <v>0</v>
      </c>
      <c r="J418" s="9"/>
      <c r="K418" s="9">
        <f t="shared" si="34"/>
        <v>0</v>
      </c>
    </row>
    <row r="419" spans="2:14" ht="15" hidden="1" customHeight="1" x14ac:dyDescent="0.3">
      <c r="B419" s="23"/>
      <c r="C419" s="6"/>
      <c r="D419" s="25"/>
      <c r="E419" s="25"/>
      <c r="F419" s="25"/>
      <c r="G419" s="46"/>
      <c r="H419" s="8"/>
      <c r="I419" s="9">
        <f t="shared" si="33"/>
        <v>0</v>
      </c>
      <c r="J419" s="9"/>
      <c r="K419" s="9">
        <f t="shared" si="34"/>
        <v>0</v>
      </c>
    </row>
    <row r="420" spans="2:14" ht="15" hidden="1" customHeight="1" x14ac:dyDescent="0.3">
      <c r="B420" s="23"/>
      <c r="C420" s="6"/>
      <c r="D420" s="25"/>
      <c r="E420" s="25"/>
      <c r="F420" s="25"/>
      <c r="G420" s="45"/>
      <c r="H420" s="26"/>
      <c r="I420" s="27"/>
      <c r="J420" s="27"/>
      <c r="K420" s="27"/>
    </row>
    <row r="421" spans="2:14" ht="15" hidden="1" customHeight="1" x14ac:dyDescent="0.3">
      <c r="B421" s="23"/>
      <c r="C421" s="24"/>
      <c r="D421" s="25"/>
      <c r="E421" s="25"/>
      <c r="F421" s="25"/>
      <c r="G421" s="45"/>
      <c r="H421" s="26"/>
      <c r="I421" s="27"/>
      <c r="J421" s="27"/>
      <c r="K421" s="27"/>
    </row>
    <row r="422" spans="2:14" ht="15" hidden="1" customHeight="1" x14ac:dyDescent="0.3">
      <c r="B422" s="13" t="s">
        <v>31</v>
      </c>
      <c r="C422" s="14"/>
      <c r="D422" s="15"/>
      <c r="E422" s="15"/>
      <c r="F422" s="15"/>
      <c r="G422" s="43">
        <f>SUM(G405:G419)</f>
        <v>0</v>
      </c>
      <c r="H422" s="16"/>
      <c r="I422" s="17">
        <f>SUM(I405:I419)</f>
        <v>0</v>
      </c>
      <c r="J422" s="17">
        <f>SUM(J405:J419)</f>
        <v>0</v>
      </c>
      <c r="K422" s="17">
        <f>SUM(K405:K419)</f>
        <v>0</v>
      </c>
      <c r="N422">
        <v>0</v>
      </c>
    </row>
    <row r="423" spans="2:14" ht="15" hidden="1" customHeight="1" x14ac:dyDescent="0.3">
      <c r="B423" s="28"/>
      <c r="C423" s="6"/>
      <c r="D423" s="25"/>
      <c r="E423" s="25"/>
      <c r="F423" s="25"/>
      <c r="G423" s="45"/>
      <c r="H423" s="26"/>
      <c r="I423" s="27">
        <f>ROUND(G423*I401/G401,2)</f>
        <v>0</v>
      </c>
      <c r="J423" s="27"/>
      <c r="K423" s="27">
        <f>I423-J423</f>
        <v>0</v>
      </c>
    </row>
    <row r="424" spans="2:14" x14ac:dyDescent="0.3">
      <c r="B424" s="7"/>
      <c r="C424" s="29"/>
      <c r="D424" s="25"/>
      <c r="E424" s="25"/>
      <c r="F424" s="25"/>
      <c r="G424" s="47"/>
      <c r="H424" s="30"/>
      <c r="I424" s="31"/>
      <c r="J424" s="31"/>
      <c r="K424" s="31"/>
    </row>
    <row r="425" spans="2:14" x14ac:dyDescent="0.3">
      <c r="B425" s="32" t="s">
        <v>32</v>
      </c>
      <c r="C425" s="33"/>
      <c r="D425" s="20"/>
      <c r="E425" s="20"/>
      <c r="F425" s="20"/>
      <c r="G425" s="43">
        <f>G401</f>
        <v>496375</v>
      </c>
      <c r="H425" s="2"/>
      <c r="I425" s="22">
        <f>I401</f>
        <v>3193.95</v>
      </c>
      <c r="J425" s="22">
        <f>J401</f>
        <v>0</v>
      </c>
      <c r="K425" s="22">
        <f>K401</f>
        <v>3193.95</v>
      </c>
      <c r="N425">
        <v>1045000</v>
      </c>
    </row>
    <row r="426" spans="2:14" x14ac:dyDescent="0.3">
      <c r="B426" s="28" t="s">
        <v>33</v>
      </c>
      <c r="C426" s="34"/>
      <c r="D426" s="25"/>
      <c r="E426" s="25"/>
      <c r="F426" s="25"/>
      <c r="G426" s="45">
        <f>G425*0.2</f>
        <v>99275</v>
      </c>
      <c r="H426" s="31"/>
      <c r="I426" s="22">
        <f>I425*0.2</f>
        <v>638.79</v>
      </c>
      <c r="J426" s="22">
        <f>J425*0.2</f>
        <v>0</v>
      </c>
      <c r="K426" s="22">
        <f>K425*0.2</f>
        <v>638.79</v>
      </c>
      <c r="N426">
        <v>209000</v>
      </c>
    </row>
    <row r="427" spans="2:14" x14ac:dyDescent="0.3">
      <c r="B427" s="35" t="s">
        <v>34</v>
      </c>
      <c r="C427" s="36"/>
      <c r="D427" s="37"/>
      <c r="E427" s="37"/>
      <c r="F427" s="37"/>
      <c r="G427" s="48">
        <f>G426+G425</f>
        <v>595650</v>
      </c>
      <c r="H427" s="38"/>
      <c r="I427" s="39">
        <f>I426+I425</f>
        <v>3832.74</v>
      </c>
      <c r="J427" s="39">
        <f>J426+J425</f>
        <v>0</v>
      </c>
      <c r="K427" s="39">
        <f>K426+K425</f>
        <v>3832.74</v>
      </c>
      <c r="N427">
        <v>1254000</v>
      </c>
    </row>
    <row r="428" spans="2:14" x14ac:dyDescent="0.3">
      <c r="C428" s="49"/>
      <c r="D428" s="50"/>
      <c r="E428" s="50"/>
      <c r="F428" s="50"/>
      <c r="G428" s="51"/>
    </row>
    <row r="429" spans="2:14" x14ac:dyDescent="0.3">
      <c r="C429" s="52"/>
    </row>
    <row r="431" spans="2:14" x14ac:dyDescent="0.3">
      <c r="C431" s="42"/>
    </row>
  </sheetData>
  <sheetProtection selectLockedCells="1" selectUnlockedCells="1"/>
  <mergeCells count="1">
    <mergeCell ref="B3:C3"/>
  </mergeCells>
  <printOptions horizontalCentered="1"/>
  <pageMargins left="0.70866141732283472" right="0.70866141732283472" top="1.0236220472440944" bottom="0.62992125984251968" header="0.35433070866141736" footer="0.51181102362204722"/>
  <pageSetup paperSize="8" scale="74" firstPageNumber="0" fitToHeight="0" orientation="portrait" r:id="rId1"/>
  <headerFooter alignWithMargins="0">
    <oddHeader xml:space="preserve">&amp;LCOTE MARQUIS
MILLERY&amp;RSituation 01 au 20 février 2026 </oddHeader>
  </headerFooter>
  <rowBreaks count="1" manualBreakCount="1">
    <brk id="191" min="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O30"/>
  <sheetViews>
    <sheetView workbookViewId="0">
      <selection activeCell="N25" sqref="N25:N27"/>
    </sheetView>
  </sheetViews>
  <sheetFormatPr baseColWidth="10" defaultColWidth="9.109375" defaultRowHeight="14.4" x14ac:dyDescent="0.3"/>
  <cols>
    <col min="1" max="256" width="11.44140625" customWidth="1"/>
  </cols>
  <sheetData>
    <row r="3" spans="4:14" x14ac:dyDescent="0.3">
      <c r="D3" t="s">
        <v>35</v>
      </c>
      <c r="E3">
        <v>1</v>
      </c>
      <c r="F3" t="s">
        <v>36</v>
      </c>
      <c r="G3" t="s">
        <v>37</v>
      </c>
      <c r="I3">
        <v>1</v>
      </c>
      <c r="K3" s="12">
        <v>1560</v>
      </c>
      <c r="L3" t="s">
        <v>38</v>
      </c>
      <c r="M3" s="12">
        <v>1560</v>
      </c>
      <c r="N3" t="s">
        <v>39</v>
      </c>
    </row>
    <row r="4" spans="4:14" x14ac:dyDescent="0.3">
      <c r="D4">
        <v>1</v>
      </c>
      <c r="E4">
        <v>2</v>
      </c>
      <c r="F4" t="s">
        <v>40</v>
      </c>
      <c r="G4" t="s">
        <v>1</v>
      </c>
      <c r="I4">
        <v>1</v>
      </c>
      <c r="K4" s="12">
        <v>4344.4799999999996</v>
      </c>
      <c r="L4" t="s">
        <v>38</v>
      </c>
      <c r="M4" s="12">
        <v>4344.4799999999996</v>
      </c>
      <c r="N4" t="s">
        <v>39</v>
      </c>
    </row>
    <row r="5" spans="4:14" x14ac:dyDescent="0.3">
      <c r="D5">
        <v>2</v>
      </c>
      <c r="E5">
        <v>3</v>
      </c>
      <c r="F5" t="s">
        <v>41</v>
      </c>
      <c r="G5" t="s">
        <v>1</v>
      </c>
      <c r="I5">
        <v>1</v>
      </c>
      <c r="K5" s="12">
        <v>3886.89</v>
      </c>
      <c r="L5" t="s">
        <v>38</v>
      </c>
      <c r="M5" s="12">
        <v>3886.89</v>
      </c>
      <c r="N5" t="s">
        <v>39</v>
      </c>
    </row>
    <row r="6" spans="4:14" x14ac:dyDescent="0.3">
      <c r="D6" t="s">
        <v>42</v>
      </c>
      <c r="E6">
        <v>5</v>
      </c>
      <c r="F6" t="s">
        <v>43</v>
      </c>
      <c r="G6" t="s">
        <v>44</v>
      </c>
      <c r="I6">
        <v>12</v>
      </c>
      <c r="K6">
        <v>50.7</v>
      </c>
      <c r="L6" t="s">
        <v>38</v>
      </c>
      <c r="M6">
        <v>608.4</v>
      </c>
      <c r="N6" t="s">
        <v>39</v>
      </c>
    </row>
    <row r="7" spans="4:14" x14ac:dyDescent="0.3">
      <c r="D7">
        <v>19</v>
      </c>
      <c r="F7" t="s">
        <v>45</v>
      </c>
      <c r="G7" t="s">
        <v>44</v>
      </c>
      <c r="I7">
        <v>15</v>
      </c>
      <c r="K7">
        <v>28.9</v>
      </c>
      <c r="L7" t="s">
        <v>38</v>
      </c>
      <c r="M7">
        <v>433.5</v>
      </c>
      <c r="N7" t="s">
        <v>39</v>
      </c>
    </row>
    <row r="8" spans="4:14" x14ac:dyDescent="0.3">
      <c r="D8">
        <v>4</v>
      </c>
      <c r="E8">
        <v>6</v>
      </c>
      <c r="F8" t="s">
        <v>46</v>
      </c>
      <c r="G8" t="s">
        <v>1</v>
      </c>
      <c r="I8">
        <v>1</v>
      </c>
      <c r="K8">
        <v>147.56</v>
      </c>
      <c r="L8" t="s">
        <v>38</v>
      </c>
      <c r="M8">
        <v>147.56</v>
      </c>
      <c r="N8" t="s">
        <v>39</v>
      </c>
    </row>
    <row r="9" spans="4:14" x14ac:dyDescent="0.3">
      <c r="D9">
        <v>5</v>
      </c>
      <c r="E9">
        <v>7</v>
      </c>
      <c r="F9" t="s">
        <v>47</v>
      </c>
      <c r="G9" t="s">
        <v>44</v>
      </c>
      <c r="I9">
        <v>10.5</v>
      </c>
      <c r="K9">
        <v>64.739999999999995</v>
      </c>
      <c r="L9" t="s">
        <v>48</v>
      </c>
      <c r="M9">
        <v>679.77</v>
      </c>
      <c r="N9" t="s">
        <v>39</v>
      </c>
    </row>
    <row r="10" spans="4:14" x14ac:dyDescent="0.3">
      <c r="D10">
        <v>6</v>
      </c>
      <c r="E10">
        <v>8</v>
      </c>
      <c r="F10" t="s">
        <v>49</v>
      </c>
      <c r="G10" t="s">
        <v>1</v>
      </c>
      <c r="I10">
        <v>1</v>
      </c>
      <c r="K10">
        <v>111.78</v>
      </c>
      <c r="L10" t="s">
        <v>38</v>
      </c>
      <c r="M10">
        <v>111.78</v>
      </c>
      <c r="N10" t="s">
        <v>39</v>
      </c>
    </row>
    <row r="11" spans="4:14" x14ac:dyDescent="0.3">
      <c r="D11">
        <v>7</v>
      </c>
      <c r="E11">
        <v>9</v>
      </c>
      <c r="F11" t="s">
        <v>50</v>
      </c>
      <c r="G11" t="s">
        <v>51</v>
      </c>
      <c r="I11">
        <v>1</v>
      </c>
      <c r="K11" s="12">
        <v>1463.7</v>
      </c>
      <c r="L11" t="s">
        <v>38</v>
      </c>
      <c r="M11" s="12">
        <v>1463.7</v>
      </c>
      <c r="N11" t="s">
        <v>39</v>
      </c>
    </row>
    <row r="12" spans="4:14" x14ac:dyDescent="0.3">
      <c r="D12">
        <v>8</v>
      </c>
      <c r="E12">
        <v>10</v>
      </c>
      <c r="F12" t="s">
        <v>52</v>
      </c>
      <c r="G12" t="s">
        <v>1</v>
      </c>
      <c r="I12">
        <v>1</v>
      </c>
      <c r="K12" s="12">
        <v>2708.38</v>
      </c>
      <c r="L12" t="s">
        <v>38</v>
      </c>
      <c r="M12" s="12">
        <v>2708.38</v>
      </c>
      <c r="N12" t="s">
        <v>39</v>
      </c>
    </row>
    <row r="13" spans="4:14" x14ac:dyDescent="0.3">
      <c r="D13">
        <v>9</v>
      </c>
      <c r="E13">
        <v>11</v>
      </c>
      <c r="F13" t="s">
        <v>53</v>
      </c>
      <c r="G13" t="s">
        <v>1</v>
      </c>
      <c r="I13">
        <v>1</v>
      </c>
      <c r="K13">
        <v>675.59</v>
      </c>
      <c r="L13" t="s">
        <v>38</v>
      </c>
      <c r="M13">
        <v>675.59</v>
      </c>
      <c r="N13" t="s">
        <v>39</v>
      </c>
    </row>
    <row r="14" spans="4:14" x14ac:dyDescent="0.3">
      <c r="D14">
        <v>11</v>
      </c>
      <c r="E14">
        <v>12</v>
      </c>
      <c r="F14" t="s">
        <v>54</v>
      </c>
      <c r="G14" t="s">
        <v>1</v>
      </c>
      <c r="I14">
        <v>1</v>
      </c>
      <c r="K14">
        <v>519.45000000000005</v>
      </c>
      <c r="L14" t="s">
        <v>38</v>
      </c>
      <c r="M14">
        <v>519.45000000000005</v>
      </c>
      <c r="N14" t="s">
        <v>39</v>
      </c>
    </row>
    <row r="15" spans="4:14" x14ac:dyDescent="0.3">
      <c r="D15">
        <v>12</v>
      </c>
      <c r="E15">
        <v>13</v>
      </c>
      <c r="F15" t="s">
        <v>55</v>
      </c>
      <c r="G15" t="s">
        <v>56</v>
      </c>
      <c r="I15">
        <v>10</v>
      </c>
      <c r="K15">
        <v>658.91</v>
      </c>
      <c r="L15" t="s">
        <v>38</v>
      </c>
      <c r="M15" s="12">
        <v>6589.1</v>
      </c>
      <c r="N15" t="s">
        <v>39</v>
      </c>
    </row>
    <row r="16" spans="4:14" x14ac:dyDescent="0.3">
      <c r="D16">
        <v>13</v>
      </c>
      <c r="E16">
        <v>14</v>
      </c>
      <c r="F16" t="s">
        <v>57</v>
      </c>
      <c r="G16" t="s">
        <v>56</v>
      </c>
      <c r="I16">
        <v>10</v>
      </c>
      <c r="K16">
        <v>93.37</v>
      </c>
      <c r="L16" t="s">
        <v>38</v>
      </c>
      <c r="M16">
        <v>933.7</v>
      </c>
      <c r="N16" t="s">
        <v>39</v>
      </c>
    </row>
    <row r="17" spans="4:15" x14ac:dyDescent="0.3">
      <c r="D17">
        <v>15</v>
      </c>
      <c r="E17">
        <v>16</v>
      </c>
      <c r="F17" t="s">
        <v>58</v>
      </c>
      <c r="G17" t="s">
        <v>1</v>
      </c>
      <c r="I17">
        <v>2</v>
      </c>
      <c r="K17">
        <v>421.36</v>
      </c>
      <c r="L17" t="s">
        <v>38</v>
      </c>
      <c r="M17">
        <v>842.72</v>
      </c>
      <c r="N17" t="s">
        <v>39</v>
      </c>
    </row>
    <row r="18" spans="4:15" x14ac:dyDescent="0.3">
      <c r="D18">
        <v>16</v>
      </c>
      <c r="E18">
        <v>17</v>
      </c>
      <c r="F18" t="s">
        <v>59</v>
      </c>
      <c r="G18" t="s">
        <v>1</v>
      </c>
      <c r="I18">
        <v>1</v>
      </c>
      <c r="K18" s="12">
        <v>1400.89</v>
      </c>
      <c r="L18" t="s">
        <v>38</v>
      </c>
      <c r="M18" s="12">
        <v>1400.89</v>
      </c>
      <c r="N18" t="s">
        <v>39</v>
      </c>
    </row>
    <row r="19" spans="4:15" x14ac:dyDescent="0.3">
      <c r="D19">
        <v>18</v>
      </c>
      <c r="E19">
        <v>19</v>
      </c>
      <c r="F19" t="s">
        <v>60</v>
      </c>
      <c r="G19" t="s">
        <v>44</v>
      </c>
      <c r="I19">
        <v>50</v>
      </c>
      <c r="K19">
        <v>73.3</v>
      </c>
      <c r="L19" t="s">
        <v>38</v>
      </c>
      <c r="M19" s="12">
        <v>3665</v>
      </c>
      <c r="N19" t="s">
        <v>39</v>
      </c>
    </row>
    <row r="20" spans="4:15" x14ac:dyDescent="0.3">
      <c r="F20" t="s">
        <v>32</v>
      </c>
      <c r="M20" s="12">
        <v>30570.91</v>
      </c>
    </row>
    <row r="21" spans="4:15" x14ac:dyDescent="0.3">
      <c r="F21" t="s">
        <v>61</v>
      </c>
      <c r="G21" t="s">
        <v>39</v>
      </c>
      <c r="H21" t="s">
        <v>62</v>
      </c>
      <c r="I21" s="12">
        <v>30570.91</v>
      </c>
      <c r="J21" t="s">
        <v>63</v>
      </c>
      <c r="K21">
        <v>10</v>
      </c>
      <c r="L21" t="s">
        <v>5</v>
      </c>
      <c r="M21" s="12">
        <v>3057.09</v>
      </c>
    </row>
    <row r="22" spans="4:15" x14ac:dyDescent="0.3">
      <c r="F22" t="s">
        <v>34</v>
      </c>
      <c r="M22" s="12">
        <v>33628</v>
      </c>
    </row>
    <row r="25" spans="4:15" x14ac:dyDescent="0.3">
      <c r="E25">
        <v>20</v>
      </c>
      <c r="G25" t="s">
        <v>64</v>
      </c>
      <c r="H25" t="s">
        <v>44</v>
      </c>
      <c r="J25">
        <v>22</v>
      </c>
      <c r="L25">
        <v>32.450000000000003</v>
      </c>
      <c r="M25" t="s">
        <v>38</v>
      </c>
      <c r="N25">
        <v>713.9</v>
      </c>
      <c r="O25" t="s">
        <v>65</v>
      </c>
    </row>
    <row r="26" spans="4:15" x14ac:dyDescent="0.3">
      <c r="E26">
        <v>21</v>
      </c>
      <c r="G26" t="s">
        <v>66</v>
      </c>
      <c r="H26" t="s">
        <v>56</v>
      </c>
      <c r="J26">
        <v>10</v>
      </c>
      <c r="L26">
        <v>98.87</v>
      </c>
      <c r="M26" t="s">
        <v>38</v>
      </c>
      <c r="N26">
        <v>988.7</v>
      </c>
      <c r="O26" t="s">
        <v>65</v>
      </c>
    </row>
    <row r="27" spans="4:15" x14ac:dyDescent="0.3">
      <c r="E27">
        <v>22</v>
      </c>
      <c r="G27" t="s">
        <v>67</v>
      </c>
      <c r="H27" t="s">
        <v>68</v>
      </c>
      <c r="J27">
        <v>1</v>
      </c>
      <c r="L27">
        <v>775.25</v>
      </c>
      <c r="M27" t="s">
        <v>38</v>
      </c>
      <c r="N27">
        <v>775.25</v>
      </c>
      <c r="O27" t="s">
        <v>65</v>
      </c>
    </row>
    <row r="28" spans="4:15" x14ac:dyDescent="0.3">
      <c r="G28" t="s">
        <v>32</v>
      </c>
      <c r="N28" s="12">
        <v>2477.85</v>
      </c>
    </row>
    <row r="29" spans="4:15" x14ac:dyDescent="0.3">
      <c r="G29" t="s">
        <v>69</v>
      </c>
      <c r="H29" t="s">
        <v>65</v>
      </c>
      <c r="I29" t="s">
        <v>62</v>
      </c>
      <c r="J29" s="12">
        <v>2477.85</v>
      </c>
      <c r="K29" t="s">
        <v>63</v>
      </c>
      <c r="L29">
        <v>20</v>
      </c>
      <c r="M29" t="s">
        <v>5</v>
      </c>
      <c r="N29">
        <v>495.57</v>
      </c>
    </row>
    <row r="30" spans="4:15" x14ac:dyDescent="0.3">
      <c r="G30" t="s">
        <v>34</v>
      </c>
      <c r="N30" s="12">
        <v>2973.42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4751CF5C730249A4DDDDBF9A93CE8B" ma:contentTypeVersion="15" ma:contentTypeDescription="Crée un document." ma:contentTypeScope="" ma:versionID="e28b5868512ccb4048f522217ae0edfa">
  <xsd:schema xmlns:xsd="http://www.w3.org/2001/XMLSchema" xmlns:xs="http://www.w3.org/2001/XMLSchema" xmlns:p="http://schemas.microsoft.com/office/2006/metadata/properties" xmlns:ns2="0c725564-d2d9-4c60-9ff2-19c12357952c" xmlns:ns3="6ccd0b62-eedf-485e-a196-d810b5ee6f97" targetNamespace="http://schemas.microsoft.com/office/2006/metadata/properties" ma:root="true" ma:fieldsID="a918f022974a7a3a691a91e25d456ee7" ns2:_="" ns3:_="">
    <xsd:import namespace="0c725564-d2d9-4c60-9ff2-19c12357952c"/>
    <xsd:import namespace="6ccd0b62-eedf-485e-a196-d810b5ee6f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25564-d2d9-4c60-9ff2-19c123579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69f62988-b6a1-4004-86c7-dafef6d04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d0b62-eedf-485e-a196-d810b5ee6f9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565576-9c54-4f6e-8508-b1e1a27eb1fa}" ma:internalName="TaxCatchAll" ma:showField="CatchAllData" ma:web="6ccd0b62-eedf-485e-a196-d810b5ee6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cd0b62-eedf-485e-a196-d810b5ee6f97" xsi:nil="true"/>
    <lcf76f155ced4ddcb4097134ff3c332f xmlns="0c725564-d2d9-4c60-9ff2-19c1235795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647F34-FCDB-4423-B9BF-B5D702CC6EBF}"/>
</file>

<file path=customXml/itemProps2.xml><?xml version="1.0" encoding="utf-8"?>
<ds:datastoreItem xmlns:ds="http://schemas.openxmlformats.org/officeDocument/2006/customXml" ds:itemID="{C97BF6AE-EA7B-422C-8A01-AF3482D714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754950-3B74-4AE8-AEF4-D3438D794ED5}">
  <ds:schemaRefs>
    <ds:schemaRef ds:uri="http://www.w3.org/XML/1998/namespace"/>
    <ds:schemaRef ds:uri="http://schemas.microsoft.com/office/2006/metadata/properties"/>
    <ds:schemaRef ds:uri="6ccd0b62-eedf-485e-a196-d810b5ee6f97"/>
    <ds:schemaRef ds:uri="0c725564-d2d9-4c60-9ff2-19c12357952c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JANVIER 2017</vt:lpstr>
      <vt:lpstr>Feuil3</vt:lpstr>
      <vt:lpstr>Feuil1</vt:lpstr>
      <vt:lpstr>'JANVIER 2017'!Zone_d_impression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Guilhem Perron</dc:creator>
  <cp:keywords/>
  <dc:description/>
  <cp:lastModifiedBy>Séverine Poupin</cp:lastModifiedBy>
  <cp:revision/>
  <cp:lastPrinted>2025-02-25T13:18:12Z</cp:lastPrinted>
  <dcterms:created xsi:type="dcterms:W3CDTF">2017-02-05T16:42:50Z</dcterms:created>
  <dcterms:modified xsi:type="dcterms:W3CDTF">2026-02-20T08:55:19Z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0x010100544751CF5C730249A4DDDDBF9A93CE8B</vt:lpwstr>
  </property>
  <property fmtid="{D5CDD505-2E9C-101B-9397-08002B2CF9AE}" pid="3" name="MediaServiceImageTags">
    <vt:lpwstr/>
  </property>
  <property fmtid="{D5CDD505-2E9C-101B-9397-08002B2CF9AE}" pid="4" name="Order">
    <vt:r8>49814200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_ColorTag">
    <vt:lpwstr/>
  </property>
  <property fmtid="{D5CDD505-2E9C-101B-9397-08002B2CF9AE}" pid="9" name="TriggerFlowInfo">
    <vt:lpwstr/>
  </property>
  <property fmtid="{D5CDD505-2E9C-101B-9397-08002B2CF9AE}" pid="10" name="_ColorHex">
    <vt:lpwstr/>
  </property>
  <property fmtid="{D5CDD505-2E9C-101B-9397-08002B2CF9AE}" pid="11" name="_Emoji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